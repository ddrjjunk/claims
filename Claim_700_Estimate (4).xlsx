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Office" sheetId="2" state="visible" r:id="rId4"/>
    <sheet name="Laundry Room" sheetId="3" state="visible" r:id="rId5"/>
    <sheet name="Downstairs Bathroom" sheetId="4" state="visible" r:id="rId6"/>
    <sheet name="Hallway" sheetId="5" state="visible" r:id="rId7"/>
    <sheet name="Family Room" sheetId="6" state="visible" r:id="rId8"/>
    <sheet name="Pricing 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<sst xmlns="http://schemas.openxmlformats.org/spreadsheetml/2006/main" count="891" uniqueCount="266">
  <si>
    <t xml:space="preserve">Claim 20-2023-700 - Repair Estimate</t>
  </si>
  <si>
    <t xml:space="preserve">What happened:</t>
  </si>
  <si>
    <t xml:space="preserve">Drain line in laundry room backed up and water affected the laundry room, downstairs bathroom, hallway, office, and family room.</t>
  </si>
  <si>
    <t xml:space="preserve">Mold treatment completed. This estimate covers remaining repair and finish work only.</t>
  </si>
  <si>
    <t xml:space="preserve">Owner acting as general contractor. Subs: carpet install, shower system install, concrete leveling. All other work owner-performed. All pricing sourced and linked (see Pricing Sources tab).</t>
  </si>
  <si>
    <t xml:space="preserve">Room</t>
  </si>
  <si>
    <t xml:space="preserve">Dimensions</t>
  </si>
  <si>
    <t xml:space="preserve">Scope of Repair</t>
  </si>
  <si>
    <t xml:space="preserve">Room Total</t>
  </si>
  <si>
    <t xml:space="preserve">Office</t>
  </si>
  <si>
    <t xml:space="preserve">11'7"x14'5" + offset + closet</t>
  </si>
  <si>
    <t xml:space="preserve">LifeProof carpet, concrete leveling, drywall, baseboard, texture, paint</t>
  </si>
  <si>
    <t xml:space="preserve">Laundry Room</t>
  </si>
  <si>
    <t xml:space="preserve">14'7" x 11'7"</t>
  </si>
  <si>
    <t xml:space="preserve">LVP floor, walls, door/trim, baseboard, paint</t>
  </si>
  <si>
    <t xml:space="preserve">Downstairs Bathroom</t>
  </si>
  <si>
    <t xml:space="preserve">6'9" x 7'</t>
  </si>
  <si>
    <t xml:space="preserve">DreamStone shower, tile surround, vanity, vinyl floor, door/trim, baseboard, paint</t>
  </si>
  <si>
    <t xml:space="preserve">Hallway</t>
  </si>
  <si>
    <t xml:space="preserve">14' x 3'3" + offset</t>
  </si>
  <si>
    <t xml:space="preserve">Family Room</t>
  </si>
  <si>
    <t xml:space="preserve">LifeProof carpet, concrete leveling, drywall, paneling, baseboard, texture, paint</t>
  </si>
  <si>
    <t xml:space="preserve">GRAND TOTAL</t>
  </si>
  <si>
    <t xml:space="preserve">Legend:</t>
  </si>
  <si>
    <t xml:space="preserve">  Yellow rows</t>
  </si>
  <si>
    <t xml:space="preserve">Owner-performed labor (valued at contractor rates)</t>
  </si>
  <si>
    <t xml:space="preserve">  Blue rows</t>
  </si>
  <si>
    <t xml:space="preserve">Subcontractor labor</t>
  </si>
  <si>
    <t xml:space="preserve">  Blue underlined costs</t>
  </si>
  <si>
    <t xml:space="preserve">Clickable link to pricing source</t>
  </si>
  <si>
    <t xml:space="preserve">Claim 20-2023-700 - Office</t>
  </si>
  <si>
    <t xml:space="preserve">Room:</t>
  </si>
  <si>
    <t xml:space="preserve">Dimensions:</t>
  </si>
  <si>
    <t xml:space="preserve">11'7" x 14'5" + offset 8x3'7" + closet 8x3'5"</t>
  </si>
  <si>
    <t xml:space="preserve">Areas of Repair:</t>
  </si>
  <si>
    <t xml:space="preserve">Full room: LifeProof carpet &amp; pad, concrete crack repair &amp; leveling, drywall repair, all baseboard replaced, texture &amp; paint all walls</t>
  </si>
  <si>
    <t xml:space="preserve">Category</t>
  </si>
  <si>
    <t xml:space="preserve">Material / Item</t>
  </si>
  <si>
    <t xml:space="preserve">Qty</t>
  </si>
  <si>
    <t xml:space="preserve">Unit</t>
  </si>
  <si>
    <t xml:space="preserve">Unit Cost</t>
  </si>
  <si>
    <t xml:space="preserve">Extended Cost</t>
  </si>
  <si>
    <t xml:space="preserve">Notes</t>
  </si>
  <si>
    <t xml:space="preserve">Flooring</t>
  </si>
  <si>
    <t xml:space="preserve">LifeProof w/ Petproof Technology - low pile carpet</t>
  </si>
  <si>
    <t xml:space="preserve">SF</t>
  </si>
  <si>
    <t xml:space="preserve">Triexta, lifetime pet-stain warranty, 25yr wear</t>
  </si>
  <si>
    <t xml:space="preserve">LifeProof 1/2" Premium Comfort Foam pad (SpillSafe)</t>
  </si>
  <si>
    <t xml:space="preserve">Double-sided waterproof moisture barrier</t>
  </si>
  <si>
    <t xml:space="preserve">Tack strips</t>
  </si>
  <si>
    <t xml:space="preserve">LF</t>
  </si>
  <si>
    <t xml:space="preserve">Full room perimeter</t>
  </si>
  <si>
    <t xml:space="preserve">Carpet seam tape</t>
  </si>
  <si>
    <t xml:space="preserve">roll</t>
  </si>
  <si>
    <t xml:space="preserve">Concrete</t>
  </si>
  <si>
    <t xml:space="preserve">Epoxy crack filler (10oz cartridge)</t>
  </si>
  <si>
    <t xml:space="preserve">ea</t>
  </si>
  <si>
    <t xml:space="preserve">Phase 1: Individual crack repair</t>
  </si>
  <si>
    <t xml:space="preserve">Concrete crack backer rod (3/8")</t>
  </si>
  <si>
    <t xml:space="preserve">Concrete bonding adhesive</t>
  </si>
  <si>
    <t xml:space="preserve">gal</t>
  </si>
  <si>
    <t xml:space="preserve">Hydraulic cement (10 lb)</t>
  </si>
  <si>
    <t xml:space="preserve">bag</t>
  </si>
  <si>
    <t xml:space="preserve">Wider cracks / spalling</t>
  </si>
  <si>
    <t xml:space="preserve">Self-leveling compound (50 lb bag)</t>
  </si>
  <si>
    <t xml:space="preserve">Phase 2 if needed: Full floor ~223 SF</t>
  </si>
  <si>
    <t xml:space="preserve">SLC primer / bonding agent (1 gal)</t>
  </si>
  <si>
    <t xml:space="preserve">Required prep for SLC</t>
  </si>
  <si>
    <t xml:space="preserve">Drywall</t>
  </si>
  <si>
    <t xml:space="preserve">1/2" x 4'x8' standard drywall</t>
  </si>
  <si>
    <t xml:space="preserve">sheet</t>
  </si>
  <si>
    <t xml:space="preserve">Drywall screws 1-1/4" coarse (1 lb)</t>
  </si>
  <si>
    <t xml:space="preserve">box</t>
  </si>
  <si>
    <t xml:space="preserve">Paper drywall tape (250 ft)</t>
  </si>
  <si>
    <t xml:space="preserve">All-purpose joint compound (4.5 gal)</t>
  </si>
  <si>
    <t xml:space="preserve">bucket</t>
  </si>
  <si>
    <t xml:space="preserve">Lightweight finishing compound (4.5 gal)</t>
  </si>
  <si>
    <t xml:space="preserve">Sanding sponge (med/fine)</t>
  </si>
  <si>
    <t xml:space="preserve">Trim</t>
  </si>
  <si>
    <t xml:space="preserve">Baseboard - 3-1/4" MDF primed (8ft)</t>
  </si>
  <si>
    <t xml:space="preserve">piece</t>
  </si>
  <si>
    <t xml:space="preserve">~92 LF full perimeter</t>
  </si>
  <si>
    <t xml:space="preserve">Inside/outside corner blocks</t>
  </si>
  <si>
    <t xml:space="preserve">18ga 2" brad nails (1000ct)</t>
  </si>
  <si>
    <t xml:space="preserve">Paintable latex caulk</t>
  </si>
  <si>
    <t xml:space="preserve">tube</t>
  </si>
  <si>
    <t xml:space="preserve">Wood filler / spackle</t>
  </si>
  <si>
    <t xml:space="preserve">Texture</t>
  </si>
  <si>
    <t xml:space="preserve">Spray texture - orange peel/knockdown (25oz)</t>
  </si>
  <si>
    <t xml:space="preserve">can</t>
  </si>
  <si>
    <t xml:space="preserve">Match existing</t>
  </si>
  <si>
    <t xml:space="preserve">Paint</t>
  </si>
  <si>
    <t xml:space="preserve">Zinsser Bulls Eye 1-2-3 Primer (1 gal)</t>
  </si>
  <si>
    <t xml:space="preserve">All walls</t>
  </si>
  <si>
    <t xml:space="preserve">BEHR Marquee interior paint - eggshell (1 gal)</t>
  </si>
  <si>
    <t xml:space="preserve">All walls, 2 coats (~500 SF)</t>
  </si>
  <si>
    <t xml:space="preserve">BEHR Marquee semi-gloss trim paint (1 qt)</t>
  </si>
  <si>
    <t xml:space="preserve">qt</t>
  </si>
  <si>
    <t xml:space="preserve">Baseboard &amp; trim</t>
  </si>
  <si>
    <t xml:space="preserve">Paint roller covers 3/8" nap (3-pack)</t>
  </si>
  <si>
    <t xml:space="preserve">pack</t>
  </si>
  <si>
    <t xml:space="preserve">Roller frame &amp; extension pole</t>
  </si>
  <si>
    <t xml:space="preserve">Paint tray &amp; liners</t>
  </si>
  <si>
    <t xml:space="preserve">set</t>
  </si>
  <si>
    <t xml:space="preserve">Angled sash brush 2.5"</t>
  </si>
  <si>
    <t xml:space="preserve">Painters tape (1.88" x 60yd)</t>
  </si>
  <si>
    <t xml:space="preserve">Supplies</t>
  </si>
  <si>
    <t xml:space="preserve">Plastic sheeting / drop cloths</t>
  </si>
  <si>
    <t xml:space="preserve">Disposal / debris hauling</t>
  </si>
  <si>
    <t xml:space="preserve">flat</t>
  </si>
  <si>
    <t xml:space="preserve">Old materials removal</t>
  </si>
  <si>
    <t xml:space="preserve">&gt;&gt;&gt; OWNER-PERFORMED LABOR (valued at contractor equivalent rates)</t>
  </si>
  <si>
    <t xml:space="preserve">Owner Labor</t>
  </si>
  <si>
    <t xml:space="preserve">Carpet &amp; pad removal (old)</t>
  </si>
  <si>
    <t xml:space="preserve">See Pricing Sources tab</t>
  </si>
  <si>
    <t xml:space="preserve">Drywall - hang, tape, mud, sand (Level 4)</t>
  </si>
  <si>
    <t xml:space="preserve">Texture application - match existing</t>
  </si>
  <si>
    <t xml:space="preserve">Baseboard removal (old)</t>
  </si>
  <si>
    <t xml:space="preserve">Baseboard installation (new, full room)</t>
  </si>
  <si>
    <t xml:space="preserve">Cut, fit, nail, caulk, fill, paint</t>
  </si>
  <si>
    <t xml:space="preserve">Paint - all walls, prime + 2 coats</t>
  </si>
  <si>
    <t xml:space="preserve">&gt;&gt;&gt; SUBCONTRACTOR LABOR</t>
  </si>
  <si>
    <t xml:space="preserve">Sub Labor</t>
  </si>
  <si>
    <t xml:space="preserve">Carpet &amp; pad installation (professional)</t>
  </si>
  <si>
    <t xml:space="preserve">Concrete crack repair</t>
  </si>
  <si>
    <t xml:space="preserve">Phase 1</t>
  </si>
  <si>
    <t xml:space="preserve">Concrete self-leveling application</t>
  </si>
  <si>
    <t xml:space="preserve">Phase 2 if needed</t>
  </si>
  <si>
    <t xml:space="preserve">Room Subtotal</t>
  </si>
  <si>
    <t xml:space="preserve">Claim 20-2023-700 - Laundry Room</t>
  </si>
  <si>
    <t xml:space="preserve">Full room: LVP floor, all walls finished, all baseboard replaced, door &amp; trim, texture &amp; paint all walls</t>
  </si>
  <si>
    <t xml:space="preserve">Work Completed:</t>
  </si>
  <si>
    <t xml:space="preserve">Mold treatment completed</t>
  </si>
  <si>
    <t xml:space="preserve">Luxury vinyl plank (waterproof, 5mm+ w/ pad)</t>
  </si>
  <si>
    <t xml:space="preserve">LVP underlayment - 6mil poly moisture barrier</t>
  </si>
  <si>
    <t xml:space="preserve">Over concrete slab</t>
  </si>
  <si>
    <t xml:space="preserve">Transition strips (T-molding)</t>
  </si>
  <si>
    <t xml:space="preserve">Quarter round / shoe molding (8ft)</t>
  </si>
  <si>
    <t xml:space="preserve">1/2" x 4'x8' moisture-resistant drywall (green board)</t>
  </si>
  <si>
    <t xml:space="preserve">Door/Trim</t>
  </si>
  <si>
    <t xml:space="preserve">Interior prehung door - solid core (32")</t>
  </si>
  <si>
    <t xml:space="preserve">Door casing set - colonial (3-piece)</t>
  </si>
  <si>
    <t xml:space="preserve">Door hardware - lever handle</t>
  </si>
  <si>
    <t xml:space="preserve">Door hinges (3-pack, satin nickel)</t>
  </si>
  <si>
    <t xml:space="preserve">Door stop + shims</t>
  </si>
  <si>
    <t xml:space="preserve">~49 LF full perimeter</t>
  </si>
  <si>
    <t xml:space="preserve">Zinsser Mold Killing Primer (1 gal)</t>
  </si>
  <si>
    <t xml:space="preserve">All walls, 2 coats (~420 SF)</t>
  </si>
  <si>
    <t xml:space="preserve">Paint supplies (rollers, brushes, tape, tray)</t>
  </si>
  <si>
    <t xml:space="preserve">kit</t>
  </si>
  <si>
    <t xml:space="preserve">LVP flooring installation</t>
  </si>
  <si>
    <t xml:space="preserve">Incl subfloor prep, underlayment</t>
  </si>
  <si>
    <t xml:space="preserve">Texture application</t>
  </si>
  <si>
    <t xml:space="preserve">Door &amp; trim installation</t>
  </si>
  <si>
    <t xml:space="preserve">Hang door, install casing, hardware</t>
  </si>
  <si>
    <t xml:space="preserve">Baseboard removal &amp; installation (full room)</t>
  </si>
  <si>
    <t xml:space="preserve">Paint - all walls + trim, prime + 2 coats</t>
  </si>
  <si>
    <t xml:space="preserve">Claim 20-2023-700 - Downstairs Bathroom</t>
  </si>
  <si>
    <t xml:space="preserve">Full room: DreamLine shower system (2'7"x4'1"), tile surround (4ft high), vanity &amp; sink hookup (3'x1'8"), vinyl floor, door &amp; trim, skim coat, all baseboard, all walls painted</t>
  </si>
  <si>
    <t xml:space="preserve">Demo done, wet material removed, mold treated, drywall replaced</t>
  </si>
  <si>
    <t xml:space="preserve">Luxury vinyl plank/tile (waterproof, bathroom)</t>
  </si>
  <si>
    <t xml:space="preserve">Vinyl adhesive / underlayment</t>
  </si>
  <si>
    <t xml:space="preserve">Transition strip</t>
  </si>
  <si>
    <t xml:space="preserve">Shower System</t>
  </si>
  <si>
    <t xml:space="preserve">DreamLine DreamStone alcove kit (34"x54"x84" base + walls, Modern White)</t>
  </si>
  <si>
    <t xml:space="preserve">Premium solid surface, mold/chip/crack resistant, slip-resistant. Door separate if needed.</t>
  </si>
  <si>
    <t xml:space="preserve">Shower trim kit (showerhead, handle, flange)</t>
  </si>
  <si>
    <t xml:space="preserve">Coordinated brushed nickel</t>
  </si>
  <si>
    <t xml:space="preserve">Shower arm &amp; flange</t>
  </si>
  <si>
    <t xml:space="preserve">Silicone caulk - bath (clear + white)</t>
  </si>
  <si>
    <t xml:space="preserve">System seams &amp; perimeter</t>
  </si>
  <si>
    <t xml:space="preserve">Panel adhesive (per DreamLine specs)</t>
  </si>
  <si>
    <t xml:space="preserve">Tile</t>
  </si>
  <si>
    <t xml:space="preserve">Porcelain wall tile - surround (4ft high, excl shower)</t>
  </si>
  <si>
    <t xml:space="preserve">~24.5 LF x 4ft</t>
  </si>
  <si>
    <t xml:space="preserve">Bullnose / edge trim tile</t>
  </si>
  <si>
    <t xml:space="preserve">Top edge of surround</t>
  </si>
  <si>
    <t xml:space="preserve">Cement backer board (3'x5')</t>
  </si>
  <si>
    <t xml:space="preserve">Substrate for surround</t>
  </si>
  <si>
    <t xml:space="preserve">Backer board screws + alkali-resistant tape</t>
  </si>
  <si>
    <t xml:space="preserve">Modified thinset mortar (50 lb)</t>
  </si>
  <si>
    <t xml:space="preserve">Unsanded grout (10 lb)</t>
  </si>
  <si>
    <t xml:space="preserve">Grout sealer</t>
  </si>
  <si>
    <t xml:space="preserve">bottle</t>
  </si>
  <si>
    <t xml:space="preserve">Tile spacers, leveling system</t>
  </si>
  <si>
    <t xml:space="preserve">Silicone caulk - tile corners/transitions</t>
  </si>
  <si>
    <t xml:space="preserve">Vanity/Sink</t>
  </si>
  <si>
    <t xml:space="preserve">Bathroom vanity w/ solid surface top (30"-36")</t>
  </si>
  <si>
    <t xml:space="preserve">Mid-upper grade, soft-close</t>
  </si>
  <si>
    <t xml:space="preserve">Moen Genta bathroom faucet (brushed nickel)</t>
  </si>
  <si>
    <t xml:space="preserve">Drain assembly &amp; pop-up</t>
  </si>
  <si>
    <t xml:space="preserve">P-trap assembly</t>
  </si>
  <si>
    <t xml:space="preserve">Supply lines - braided stainless (2)</t>
  </si>
  <si>
    <t xml:space="preserve">Plumbers putty / teflon tape</t>
  </si>
  <si>
    <t xml:space="preserve">Framed mirror (wall mount)</t>
  </si>
  <si>
    <t xml:space="preserve">Interior prehung door - solid core (28"-30")</t>
  </si>
  <si>
    <t xml:space="preserve">Door casing set - colonial</t>
  </si>
  <si>
    <t xml:space="preserve">Door hardware - privacy lever (brushed nickel)</t>
  </si>
  <si>
    <t xml:space="preserve">Door hinges (satin nickel)</t>
  </si>
  <si>
    <t xml:space="preserve">~28 LF full perimeter</t>
  </si>
  <si>
    <t xml:space="preserve">Joint compound - skim coat (4.5 gal)</t>
  </si>
  <si>
    <t xml:space="preserve">Lightweight finishing compound</t>
  </si>
  <si>
    <t xml:space="preserve">Sanding sponge / 120-grit</t>
  </si>
  <si>
    <t xml:space="preserve">BEHR Marquee semi-gloss interior paint (1 gal)</t>
  </si>
  <si>
    <t xml:space="preserve">All walls, moisture/mildew-resistant</t>
  </si>
  <si>
    <t xml:space="preserve">Paint supplies (rollers, brush, tape)</t>
  </si>
  <si>
    <t xml:space="preserve">Vinyl floor installation</t>
  </si>
  <si>
    <t xml:space="preserve">Tile surround installation (backer, tile, grout)</t>
  </si>
  <si>
    <t xml:space="preserve">Vanity set &amp; plumbing hookup</t>
  </si>
  <si>
    <t xml:space="preserve">Connect to existing supply/drain</t>
  </si>
  <si>
    <t xml:space="preserve">Drywall skim coat, sand, prep</t>
  </si>
  <si>
    <t xml:space="preserve">Baseboard removal &amp; installation</t>
  </si>
  <si>
    <t xml:space="preserve">DreamStone shower system installation</t>
  </si>
  <si>
    <t xml:space="preserve">Set base, mount panels, hang door, seal</t>
  </si>
  <si>
    <t xml:space="preserve">Claim 20-2023-700 - Hallway</t>
  </si>
  <si>
    <t xml:space="preserve">14' x 3'3" + offset 3'1" x 4'10"</t>
  </si>
  <si>
    <t xml:space="preserve">Full area: LifeProof carpet &amp; pad, concrete crack repair &amp; leveling, drywall, all baseboard, texture, paint all walls</t>
  </si>
  <si>
    <t xml:space="preserve">Floor demo, wet material removed, mold treatment completed</t>
  </si>
  <si>
    <t xml:space="preserve">Phase 2 if needed: Full floor ~61 SF</t>
  </si>
  <si>
    <t xml:space="preserve">~42 LF full perimeter</t>
  </si>
  <si>
    <t xml:space="preserve">All walls, 2 coats</t>
  </si>
  <si>
    <t xml:space="preserve">Drywall - hang, tape, mud, sand</t>
  </si>
  <si>
    <t xml:space="preserve">Paint - all walls + trim</t>
  </si>
  <si>
    <t xml:space="preserve">Claim 20-2023-700 - Family Room</t>
  </si>
  <si>
    <t xml:space="preserve">Full area: LifeProof carpet &amp; pad, concrete crack repair &amp; leveling, drywall, wall paneling, all baseboard, texture, paint all walls</t>
  </si>
  <si>
    <t xml:space="preserve">Floor demo, mold treatment completed</t>
  </si>
  <si>
    <t xml:space="preserve">Walls</t>
  </si>
  <si>
    <t xml:space="preserve">Wall paneling - 4'x8' sheets (match existing)</t>
  </si>
  <si>
    <t xml:space="preserve">Panel adhesive (heavy duty)</t>
  </si>
  <si>
    <t xml:space="preserve">Paneling trim / seam molding (8ft)</t>
  </si>
  <si>
    <t xml:space="preserve">Panel nails (color-matched)</t>
  </si>
  <si>
    <t xml:space="preserve">Paint supplies</t>
  </si>
  <si>
    <t xml:space="preserve">Wall paneling installation</t>
  </si>
  <si>
    <t xml:space="preserve">Pricing Sources &amp; Methodology</t>
  </si>
  <si>
    <t xml:space="preserve">MATERIAL PRICING: All material unit costs link directly to the product or search results page at the retailer. Click the blue underlined unit cost in any room tab to view the source. Prices based on Home Depot and manufacturer websites as of April 2026.</t>
  </si>
  <si>
    <t xml:space="preserve">Labor Category</t>
  </si>
  <si>
    <t xml:space="preserve">Rate</t>
  </si>
  <si>
    <t xml:space="preserve">Source</t>
  </si>
  <si>
    <t xml:space="preserve">Date Accessed</t>
  </si>
  <si>
    <t xml:space="preserve">Carpet removal</t>
  </si>
  <si>
    <t xml:space="preserve">$0.85/SF</t>
  </si>
  <si>
    <t xml:space="preserve">April 2026</t>
  </si>
  <si>
    <t xml:space="preserve">Carpet installation (professional)</t>
  </si>
  <si>
    <t xml:space="preserve">$2.00/SF</t>
  </si>
  <si>
    <t xml:space="preserve">Drywall hang, tape, mud, sand</t>
  </si>
  <si>
    <t xml:space="preserve">$2.75/SF</t>
  </si>
  <si>
    <t xml:space="preserve">$1.50/SF</t>
  </si>
  <si>
    <t xml:space="preserve">Baseboard removal</t>
  </si>
  <si>
    <t xml:space="preserve">$1.25/LF</t>
  </si>
  <si>
    <t xml:space="preserve">Baseboard installation</t>
  </si>
  <si>
    <t xml:space="preserve">$7.00-8.25/LF</t>
  </si>
  <si>
    <t xml:space="preserve">Painting walls (prime + 2 coats)</t>
  </si>
  <si>
    <t xml:space="preserve">$1.75-2.00/SF</t>
  </si>
  <si>
    <t xml:space="preserve">$3.00/SF</t>
  </si>
  <si>
    <t xml:space="preserve">$3.50/SF</t>
  </si>
  <si>
    <t xml:space="preserve">$325/ea</t>
  </si>
  <si>
    <t xml:space="preserve">Tile surround installation</t>
  </si>
  <si>
    <t xml:space="preserve">$10.00/SF</t>
  </si>
  <si>
    <t xml:space="preserve">$250/ea</t>
  </si>
  <si>
    <t xml:space="preserve">Drywall skim coat</t>
  </si>
  <si>
    <t xml:space="preserve">$1.75/SF</t>
  </si>
  <si>
    <t xml:space="preserve">$2.25/SF</t>
  </si>
  <si>
    <t xml:space="preserve">$8.00/LF</t>
  </si>
  <si>
    <t xml:space="preserve">Concrete self-leveling</t>
  </si>
  <si>
    <t xml:space="preserve">$800/ea</t>
  </si>
  <si>
    <t xml:space="preserve">Note: Owner-performed labor is valued at the same rates a licensed contractor would charge. This reflects the fair market value of the work regardless of who performs it. Rates are based on 2025-2026 national averages from the sources listed above. Roanoke, VA market rates may vary slightly.</t>
  </si>
</sst>
</file>

<file path=xl/styles.xml><?xml version="1.0" encoding="utf-8"?>
<styleSheet xmlns="http://schemas.openxmlformats.org/spreadsheetml/2006/main">
  <numFmts count="3">
    <numFmt numFmtId="164" formatCode="General"/>
    <numFmt numFmtId="165" formatCode="\$#,##0.00"/>
    <numFmt numFmtId="166" formatCode="0.0"/>
  </numFmts>
  <fonts count="17">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b val="true"/>
      <sz val="10"/>
      <name val="Arial"/>
      <family val="0"/>
      <charset val="1"/>
    </font>
    <font>
      <sz val="10"/>
      <name val="Arial"/>
      <family val="0"/>
      <charset val="1"/>
    </font>
    <font>
      <i val="true"/>
      <sz val="10"/>
      <color rgb="FFC00000"/>
      <name val="Arial"/>
      <family val="0"/>
      <charset val="1"/>
    </font>
    <font>
      <i val="true"/>
      <sz val="10"/>
      <color rgb="FF1F4E79"/>
      <name val="Arial"/>
      <family val="0"/>
      <charset val="1"/>
    </font>
    <font>
      <b val="true"/>
      <sz val="11"/>
      <color rgb="FFFFFFFF"/>
      <name val="Arial"/>
      <family val="0"/>
      <charset val="1"/>
    </font>
    <font>
      <b val="true"/>
      <sz val="13"/>
      <color rgb="FF1F4E79"/>
      <name val="Arial"/>
      <family val="0"/>
      <charset val="1"/>
    </font>
    <font>
      <b val="true"/>
      <sz val="13"/>
      <name val="Arial"/>
      <family val="0"/>
      <charset val="1"/>
    </font>
    <font>
      <u val="single"/>
      <sz val="10"/>
      <color rgb="FF0563C1"/>
      <name val="Arial"/>
      <family val="0"/>
      <charset val="1"/>
    </font>
    <font>
      <b val="true"/>
      <sz val="14"/>
      <color rgb="FFFFFFFF"/>
      <name val="Arial"/>
      <family val="0"/>
      <charset val="1"/>
    </font>
    <font>
      <b val="true"/>
      <sz val="11"/>
      <name val="Arial"/>
      <family val="0"/>
      <charset val="1"/>
    </font>
    <font>
      <b val="true"/>
      <sz val="14"/>
      <color rgb="FF1F4E79"/>
      <name val="Arial"/>
      <family val="0"/>
      <charset val="1"/>
    </font>
    <font>
      <i val="true"/>
      <sz val="10"/>
      <name val="Arial"/>
      <family val="0"/>
      <charset val="1"/>
    </font>
  </fonts>
  <fills count="8">
    <fill>
      <patternFill patternType="none"/>
    </fill>
    <fill>
      <patternFill patternType="gray125"/>
    </fill>
    <fill>
      <patternFill patternType="solid">
        <fgColor rgb="FF1F4E79"/>
        <bgColor rgb="FF003366"/>
      </patternFill>
    </fill>
    <fill>
      <patternFill patternType="solid">
        <fgColor rgb="FFC6EFCE"/>
        <bgColor rgb="FFE2EFDA"/>
      </patternFill>
    </fill>
    <fill>
      <patternFill patternType="solid">
        <fgColor rgb="FFFFF2CC"/>
        <bgColor rgb="FFE2EFDA"/>
      </patternFill>
    </fill>
    <fill>
      <patternFill patternType="solid">
        <fgColor rgb="FFD6E4F0"/>
        <bgColor rgb="FFE2EFDA"/>
      </patternFill>
    </fill>
    <fill>
      <patternFill patternType="solid">
        <fgColor rgb="FF2E75B6"/>
        <bgColor rgb="FF0563C1"/>
      </patternFill>
    </fill>
    <fill>
      <patternFill patternType="solid">
        <fgColor rgb="FFE2EFDA"/>
        <bgColor rgb="FFD6E4F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10" fillId="3" borderId="2" xfId="0" applyFont="true" applyBorder="true" applyAlignment="true" applyProtection="false">
      <alignment horizontal="right" vertical="bottom" textRotation="0" wrapText="false" indent="0" shrinkToFit="false"/>
      <protection locked="true" hidden="false"/>
    </xf>
    <xf numFmtId="165" fontId="11" fillId="3"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6" borderId="0"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left"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6" fontId="6" fillId="4"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left"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6" fontId="6" fillId="5"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4" fontId="14" fillId="7" borderId="2" xfId="0" applyFont="true" applyBorder="true" applyAlignment="true" applyProtection="false">
      <alignment horizontal="right" vertical="bottom" textRotation="0" wrapText="false" indent="0" shrinkToFit="false"/>
      <protection locked="true" hidden="false"/>
    </xf>
    <xf numFmtId="165" fontId="14" fillId="7" borderId="2" xfId="0" applyFont="true" applyBorder="true" applyAlignment="true" applyProtection="false">
      <alignment horizontal="general" vertical="bottom" textRotation="0" wrapText="false" indent="0" shrinkToFit="false"/>
      <protection locked="true" hidden="false"/>
    </xf>
    <xf numFmtId="164" fontId="14" fillId="7" borderId="2"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2EFDA"/>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50"/>
    <col collapsed="false" customWidth="true" hidden="false" outlineLevel="0" max="4" min="4" style="1" width="16"/>
  </cols>
  <sheetData>
    <row r="1" customFormat="false" ht="19.5" hidden="false" customHeight="true" outlineLevel="0" collapsed="false">
      <c r="A1" s="2" t="s">
        <v>0</v>
      </c>
      <c r="B1" s="2"/>
      <c r="C1" s="2"/>
      <c r="D1" s="2"/>
    </row>
    <row r="3" customFormat="false" ht="15" hidden="false" customHeight="true" outlineLevel="0" collapsed="false">
      <c r="A3" s="3" t="s">
        <v>1</v>
      </c>
      <c r="B3" s="3"/>
      <c r="C3" s="3"/>
      <c r="D3" s="3"/>
    </row>
    <row r="4" customFormat="false" ht="15" hidden="false" customHeight="true" outlineLevel="0" collapsed="false">
      <c r="A4" s="4" t="s">
        <v>2</v>
      </c>
      <c r="B4" s="4"/>
      <c r="C4" s="4"/>
      <c r="D4" s="4"/>
    </row>
    <row r="5" customFormat="false" ht="15" hidden="false" customHeight="true" outlineLevel="0" collapsed="false">
      <c r="A5" s="5" t="s">
        <v>3</v>
      </c>
      <c r="B5" s="5"/>
      <c r="C5" s="5"/>
      <c r="D5" s="5"/>
    </row>
    <row r="6" customFormat="false" ht="23.25" hidden="false" customHeight="true" outlineLevel="0" collapsed="false">
      <c r="A6" s="6" t="s">
        <v>4</v>
      </c>
      <c r="B6" s="6"/>
      <c r="C6" s="6"/>
      <c r="D6" s="6"/>
    </row>
    <row r="8" customFormat="false" ht="15" hidden="false" customHeight="true" outlineLevel="0" collapsed="false">
      <c r="A8" s="7" t="s">
        <v>5</v>
      </c>
      <c r="B8" s="7" t="s">
        <v>6</v>
      </c>
      <c r="C8" s="7" t="s">
        <v>7</v>
      </c>
      <c r="D8" s="7" t="s">
        <v>8</v>
      </c>
    </row>
    <row r="9" customFormat="false" ht="23.25" hidden="false" customHeight="true" outlineLevel="0" collapsed="false">
      <c r="A9" s="8" t="s">
        <v>9</v>
      </c>
      <c r="B9" s="9" t="s">
        <v>10</v>
      </c>
      <c r="C9" s="10" t="s">
        <v>11</v>
      </c>
      <c r="D9" s="11" t="n">
        <f aca="false">Office!F51</f>
        <v>5826.88</v>
      </c>
    </row>
    <row r="10" customFormat="false" ht="15" hidden="false" customHeight="true" outlineLevel="0" collapsed="false">
      <c r="A10" s="8" t="s">
        <v>12</v>
      </c>
      <c r="B10" s="9" t="s">
        <v>13</v>
      </c>
      <c r="C10" s="10" t="s">
        <v>14</v>
      </c>
      <c r="D10" s="11" t="n">
        <f aca="false">'Laundry Room'!F48</f>
        <v>5315.51</v>
      </c>
    </row>
    <row r="11" customFormat="false" ht="23.25" hidden="false" customHeight="true" outlineLevel="0" collapsed="false">
      <c r="A11" s="8" t="s">
        <v>15</v>
      </c>
      <c r="B11" s="9" t="s">
        <v>16</v>
      </c>
      <c r="C11" s="10" t="s">
        <v>17</v>
      </c>
      <c r="D11" s="11" t="n">
        <f aca="false">'Downstairs Bathroom'!F61</f>
        <v>9376.6</v>
      </c>
    </row>
    <row r="12" customFormat="false" ht="23.25" hidden="false" customHeight="true" outlineLevel="0" collapsed="false">
      <c r="A12" s="8" t="s">
        <v>18</v>
      </c>
      <c r="B12" s="9" t="s">
        <v>19</v>
      </c>
      <c r="C12" s="10" t="s">
        <v>11</v>
      </c>
      <c r="D12" s="11" t="n">
        <f aca="false">Hallway!F47</f>
        <v>2922.36</v>
      </c>
    </row>
    <row r="13" customFormat="false" ht="23.25" hidden="false" customHeight="true" outlineLevel="0" collapsed="false">
      <c r="A13" s="8" t="s">
        <v>20</v>
      </c>
      <c r="B13" s="9" t="s">
        <v>19</v>
      </c>
      <c r="C13" s="10" t="s">
        <v>21</v>
      </c>
      <c r="D13" s="11" t="n">
        <f aca="false">'Family Room'!F52</f>
        <v>3401.12</v>
      </c>
    </row>
    <row r="14" customFormat="false" ht="15.75" hidden="false" customHeight="true" outlineLevel="0" collapsed="false">
      <c r="A14" s="12" t="s">
        <v>22</v>
      </c>
      <c r="B14" s="12"/>
      <c r="C14" s="12"/>
      <c r="D14" s="13" t="n">
        <f aca="false">SUM(D9:D13)</f>
        <v>26842.47</v>
      </c>
    </row>
    <row r="16" customFormat="false" ht="15" hidden="false" customHeight="true" outlineLevel="0" collapsed="false">
      <c r="A16" s="14" t="s">
        <v>23</v>
      </c>
    </row>
    <row r="17" customFormat="false" ht="15" hidden="false" customHeight="true" outlineLevel="0" collapsed="false">
      <c r="A17" s="15" t="s">
        <v>24</v>
      </c>
      <c r="B17" s="16" t="s">
        <v>25</v>
      </c>
    </row>
    <row r="18" customFormat="false" ht="15" hidden="false" customHeight="true" outlineLevel="0" collapsed="false">
      <c r="A18" s="17" t="s">
        <v>26</v>
      </c>
      <c r="B18" s="16" t="s">
        <v>27</v>
      </c>
    </row>
    <row r="19" customFormat="false" ht="15" hidden="false" customHeight="true" outlineLevel="0" collapsed="false">
      <c r="A19" s="18" t="s">
        <v>28</v>
      </c>
      <c r="B19" s="16" t="s">
        <v>29</v>
      </c>
    </row>
  </sheetData>
  <mergeCells count="6">
    <mergeCell ref="A1:D1"/>
    <mergeCell ref="A3:D3"/>
    <mergeCell ref="A4:D4"/>
    <mergeCell ref="A5:D5"/>
    <mergeCell ref="A6:D6"/>
    <mergeCell ref="A14:C1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4"/>
    <col collapsed="false" customWidth="true" hidden="false" outlineLevel="0" max="4" min="3" style="1" width="8"/>
    <col collapsed="false" customWidth="true" hidden="false" outlineLevel="0" max="5" min="5" style="1" width="12"/>
    <col collapsed="false" customWidth="true" hidden="false" outlineLevel="0" max="6" min="6" style="1" width="14"/>
    <col collapsed="false" customWidth="true" hidden="false" outlineLevel="0" max="7" min="7" style="1" width="44"/>
  </cols>
  <sheetData>
    <row r="1" customFormat="false" ht="17.25" hidden="false" customHeight="true" outlineLevel="0" collapsed="false">
      <c r="A1" s="19" t="s">
        <v>30</v>
      </c>
      <c r="B1" s="19"/>
      <c r="C1" s="19"/>
      <c r="D1" s="19"/>
      <c r="E1" s="19"/>
      <c r="F1" s="19"/>
      <c r="G1" s="19"/>
    </row>
    <row r="3" customFormat="false" ht="15" hidden="false" customHeight="true" outlineLevel="0" collapsed="false">
      <c r="A3" s="14" t="s">
        <v>31</v>
      </c>
      <c r="B3" s="16" t="s">
        <v>9</v>
      </c>
    </row>
    <row r="4" customFormat="false" ht="15" hidden="false" customHeight="true" outlineLevel="0" collapsed="false">
      <c r="A4" s="14" t="s">
        <v>32</v>
      </c>
      <c r="B4" s="16" t="s">
        <v>33</v>
      </c>
    </row>
    <row r="5" customFormat="false" ht="15" hidden="false" customHeight="true" outlineLevel="0" collapsed="false">
      <c r="A5" s="14" t="s">
        <v>34</v>
      </c>
      <c r="B5" s="4" t="s">
        <v>35</v>
      </c>
      <c r="C5" s="4"/>
      <c r="D5" s="4"/>
      <c r="E5" s="4"/>
      <c r="F5" s="4"/>
      <c r="G5" s="4"/>
    </row>
    <row r="7" customFormat="false" ht="26.25" hidden="false" customHeight="true" outlineLevel="0" collapsed="false">
      <c r="A7" s="7" t="s">
        <v>36</v>
      </c>
      <c r="B7" s="7" t="s">
        <v>37</v>
      </c>
      <c r="C7" s="7" t="s">
        <v>38</v>
      </c>
      <c r="D7" s="7" t="s">
        <v>39</v>
      </c>
      <c r="E7" s="7" t="s">
        <v>40</v>
      </c>
      <c r="F7" s="7" t="s">
        <v>41</v>
      </c>
      <c r="G7" s="7" t="s">
        <v>42</v>
      </c>
    </row>
    <row r="8" customFormat="false" ht="15" hidden="false" customHeight="true" outlineLevel="0" collapsed="false">
      <c r="A8" s="9" t="s">
        <v>43</v>
      </c>
      <c r="B8" s="9" t="s">
        <v>44</v>
      </c>
      <c r="C8" s="20" t="n">
        <v>223</v>
      </c>
      <c r="D8" s="21" t="s">
        <v>45</v>
      </c>
      <c r="E8" s="22" t="n">
        <f aca="false">HYPERLINK("https://www.homedepot.com/b/Flooring-Carpet/Lifeproof-with-Petproof-Technology/N-5yc1vZarl0Zs7d",5.49)</f>
        <v>5.49</v>
      </c>
      <c r="F8" s="23" t="n">
        <f aca="false">C8*E8</f>
        <v>1224.27</v>
      </c>
      <c r="G8" s="9" t="s">
        <v>46</v>
      </c>
    </row>
    <row r="9" customFormat="false" ht="15" hidden="false" customHeight="true" outlineLevel="0" collapsed="false">
      <c r="A9" s="9" t="s">
        <v>43</v>
      </c>
      <c r="B9" s="9" t="s">
        <v>47</v>
      </c>
      <c r="C9" s="20" t="n">
        <v>223</v>
      </c>
      <c r="D9" s="21" t="s">
        <v>45</v>
      </c>
      <c r="E9" s="22" t="n">
        <f aca="false">HYPERLINK("https://www.homedepot.com/p/Lifeproof-1-2-in-Thick-Premium-Comfort-Foam-Carpet-Pad-with-Double-Sided-Waterproof-SpillSafe-Membrane-100502850-04/316061675",1.35)</f>
        <v>1.35</v>
      </c>
      <c r="F9" s="23" t="n">
        <f aca="false">C9*E9</f>
        <v>301.05</v>
      </c>
      <c r="G9" s="9" t="s">
        <v>48</v>
      </c>
    </row>
    <row r="10" customFormat="false" ht="15" hidden="false" customHeight="true" outlineLevel="0" collapsed="false">
      <c r="A10" s="9" t="s">
        <v>43</v>
      </c>
      <c r="B10" s="9" t="s">
        <v>49</v>
      </c>
      <c r="C10" s="20" t="n">
        <v>92</v>
      </c>
      <c r="D10" s="21" t="s">
        <v>50</v>
      </c>
      <c r="E10" s="22" t="n">
        <f aca="false">HYPERLINK("https://www.homedepot.com/p/M-D-Building-Products-4-ft-Carpet-Tack-Strip-50-Pack-75093/202066639",0.45)</f>
        <v>0.45</v>
      </c>
      <c r="F10" s="23" t="n">
        <f aca="false">C10*E10</f>
        <v>41.4</v>
      </c>
      <c r="G10" s="9" t="s">
        <v>51</v>
      </c>
    </row>
    <row r="11" customFormat="false" ht="15" hidden="false" customHeight="true" outlineLevel="0" collapsed="false">
      <c r="A11" s="9" t="s">
        <v>43</v>
      </c>
      <c r="B11" s="9" t="s">
        <v>52</v>
      </c>
      <c r="C11" s="20" t="n">
        <v>1</v>
      </c>
      <c r="D11" s="21" t="s">
        <v>53</v>
      </c>
      <c r="E11" s="22" t="n">
        <f aca="false">HYPERLINK("https://www.homedepot.com/p/Roberts-3-in-x-164-ft-Hot-Melt-Seam-Tape-50-325/100147104",12.98)</f>
        <v>12.98</v>
      </c>
      <c r="F11" s="23" t="n">
        <f aca="false">C11*E11</f>
        <v>12.98</v>
      </c>
      <c r="G11" s="9"/>
    </row>
    <row r="12" customFormat="false" ht="15" hidden="false" customHeight="true" outlineLevel="0" collapsed="false">
      <c r="A12" s="9" t="s">
        <v>54</v>
      </c>
      <c r="B12" s="9" t="s">
        <v>55</v>
      </c>
      <c r="C12" s="20" t="n">
        <v>3</v>
      </c>
      <c r="D12" s="21" t="s">
        <v>56</v>
      </c>
      <c r="E12" s="22" t="n">
        <f aca="false">HYPERLINK("https://www.homedepot.com/p/DAP-Concrete-and-Mortar-Filler-and-Sealant-9-8-oz-Limestone-18096/202522393",9.98)</f>
        <v>9.98</v>
      </c>
      <c r="F12" s="23" t="n">
        <f aca="false">C12*E12</f>
        <v>29.94</v>
      </c>
      <c r="G12" s="9" t="s">
        <v>57</v>
      </c>
    </row>
    <row r="13" customFormat="false" ht="15" hidden="false" customHeight="true" outlineLevel="0" collapsed="false">
      <c r="A13" s="9" t="s">
        <v>54</v>
      </c>
      <c r="B13" s="9" t="s">
        <v>58</v>
      </c>
      <c r="C13" s="20" t="n">
        <v>1</v>
      </c>
      <c r="D13" s="21" t="s">
        <v>53</v>
      </c>
      <c r="E13" s="22" t="n">
        <f aca="false">HYPERLINK("https://www.homedepot.com/p/M-D-Building-Products-3-8-in-x-20-ft-Caulk-Backer-Rod-71464/202066517",4.48)</f>
        <v>4.48</v>
      </c>
      <c r="F13" s="23" t="n">
        <f aca="false">C13*E13</f>
        <v>4.48</v>
      </c>
      <c r="G13" s="9"/>
    </row>
    <row r="14" customFormat="false" ht="15" hidden="false" customHeight="true" outlineLevel="0" collapsed="false">
      <c r="A14" s="9" t="s">
        <v>54</v>
      </c>
      <c r="B14" s="9" t="s">
        <v>59</v>
      </c>
      <c r="C14" s="20" t="n">
        <v>1</v>
      </c>
      <c r="D14" s="21" t="s">
        <v>60</v>
      </c>
      <c r="E14" s="22" t="n">
        <f aca="false">HYPERLINK("https://www.homedepot.com/p/Quikrete-1-Qt-Concrete-Bonding-Adhesive-990201/100318507",9.98)</f>
        <v>9.98</v>
      </c>
      <c r="F14" s="23" t="n">
        <f aca="false">C14*E14</f>
        <v>9.98</v>
      </c>
      <c r="G14" s="9"/>
    </row>
    <row r="15" customFormat="false" ht="15" hidden="false" customHeight="true" outlineLevel="0" collapsed="false">
      <c r="A15" s="9" t="s">
        <v>54</v>
      </c>
      <c r="B15" s="9" t="s">
        <v>61</v>
      </c>
      <c r="C15" s="20" t="n">
        <v>1</v>
      </c>
      <c r="D15" s="21" t="s">
        <v>62</v>
      </c>
      <c r="E15" s="22" t="n">
        <f aca="false">HYPERLINK("https://www.homedepot.com/p/Quikrete-10-lb-Hydraulic-Water-Stop-Cement-112611/100318494",12.48)</f>
        <v>12.48</v>
      </c>
      <c r="F15" s="23" t="n">
        <f aca="false">C15*E15</f>
        <v>12.48</v>
      </c>
      <c r="G15" s="9" t="s">
        <v>63</v>
      </c>
    </row>
    <row r="16" customFormat="false" ht="15" hidden="false" customHeight="true" outlineLevel="0" collapsed="false">
      <c r="A16" s="9" t="s">
        <v>54</v>
      </c>
      <c r="B16" s="9" t="s">
        <v>64</v>
      </c>
      <c r="C16" s="20" t="n">
        <v>7</v>
      </c>
      <c r="D16" s="21" t="s">
        <v>62</v>
      </c>
      <c r="E16" s="22" t="n">
        <f aca="false">HYPERLINK("https://www.homedepot.com/p/Henry-555-Level-Pro-40-lb-Self-Leveling-Underlayment-12165/100111942",36.97)</f>
        <v>36.97</v>
      </c>
      <c r="F16" s="23" t="n">
        <f aca="false">C16*E16</f>
        <v>258.79</v>
      </c>
      <c r="G16" s="9" t="s">
        <v>65</v>
      </c>
    </row>
    <row r="17" customFormat="false" ht="15" hidden="false" customHeight="true" outlineLevel="0" collapsed="false">
      <c r="A17" s="9" t="s">
        <v>54</v>
      </c>
      <c r="B17" s="9" t="s">
        <v>66</v>
      </c>
      <c r="C17" s="20" t="n">
        <v>1</v>
      </c>
      <c r="D17" s="21" t="s">
        <v>60</v>
      </c>
      <c r="E17" s="22" t="n">
        <f aca="false">HYPERLINK("https://www.homedepot.com/p/Henry-336-1-Gal-Floor-Primer-and-Underlayment-Additive-12195/100111940",27.98)</f>
        <v>27.98</v>
      </c>
      <c r="F17" s="23" t="n">
        <f aca="false">C17*E17</f>
        <v>27.98</v>
      </c>
      <c r="G17" s="9" t="s">
        <v>67</v>
      </c>
    </row>
    <row r="18" customFormat="false" ht="15" hidden="false" customHeight="true" outlineLevel="0" collapsed="false">
      <c r="A18" s="9" t="s">
        <v>68</v>
      </c>
      <c r="B18" s="9" t="s">
        <v>69</v>
      </c>
      <c r="C18" s="20" t="n">
        <v>5</v>
      </c>
      <c r="D18" s="21" t="s">
        <v>70</v>
      </c>
      <c r="E18" s="22" t="n">
        <f aca="false">HYPERLINK("https://www.homedepot.com/p/USG-Sheetrock-Brand-1-2-in-x-4-ft-x-8-ft-UltraLight-Drywall-14113411708/202530243",11.98)</f>
        <v>11.98</v>
      </c>
      <c r="F18" s="23" t="n">
        <f aca="false">C18*E18</f>
        <v>59.9</v>
      </c>
      <c r="G18" s="9"/>
    </row>
    <row r="19" customFormat="false" ht="15" hidden="false" customHeight="true" outlineLevel="0" collapsed="false">
      <c r="A19" s="9" t="s">
        <v>68</v>
      </c>
      <c r="B19" s="9" t="s">
        <v>71</v>
      </c>
      <c r="C19" s="20" t="n">
        <v>2</v>
      </c>
      <c r="D19" s="21" t="s">
        <v>72</v>
      </c>
      <c r="E19" s="22" t="n">
        <f aca="false">HYPERLINK("https://www.homedepot.com/p/Grip-Rite-6-x-1-1-4-in-Philips-Bugle-Head-Coarse-Thread-Sharp-Point-Drywall-Screws-1-lb-Pack-114CDWS1/100153837",8.47)</f>
        <v>8.47</v>
      </c>
      <c r="F19" s="23" t="n">
        <f aca="false">C19*E19</f>
        <v>16.94</v>
      </c>
      <c r="G19" s="9"/>
    </row>
    <row r="20" customFormat="false" ht="15" hidden="false" customHeight="true" outlineLevel="0" collapsed="false">
      <c r="A20" s="9" t="s">
        <v>68</v>
      </c>
      <c r="B20" s="9" t="s">
        <v>73</v>
      </c>
      <c r="C20" s="20" t="n">
        <v>2</v>
      </c>
      <c r="D20" s="21" t="s">
        <v>53</v>
      </c>
      <c r="E20" s="22" t="n">
        <f aca="false">HYPERLINK("https://www.homedepot.com/p/USG-Sheetrock-Brand-2-1-16-in-x-250-ft-Paper-Joint-Tape-382175/100321614",4.88)</f>
        <v>4.88</v>
      </c>
      <c r="F20" s="23" t="n">
        <f aca="false">C20*E20</f>
        <v>9.76</v>
      </c>
      <c r="G20" s="9"/>
    </row>
    <row r="21" customFormat="false" ht="15" hidden="false" customHeight="true" outlineLevel="0" collapsed="false">
      <c r="A21" s="9" t="s">
        <v>68</v>
      </c>
      <c r="B21" s="9" t="s">
        <v>74</v>
      </c>
      <c r="C21" s="20" t="n">
        <v>2</v>
      </c>
      <c r="D21" s="21" t="s">
        <v>75</v>
      </c>
      <c r="E21" s="22" t="n">
        <f aca="false">HYPERLINK("https://www.homedepot.com/p/USG-Sheetrock-Brand-4-5-Gal-All-Purpose-Pre-Mixed-Joint-Compound-380501/100321602",19.48)</f>
        <v>19.48</v>
      </c>
      <c r="F21" s="23" t="n">
        <f aca="false">C21*E21</f>
        <v>38.96</v>
      </c>
      <c r="G21" s="9"/>
    </row>
    <row r="22" customFormat="false" ht="15" hidden="false" customHeight="true" outlineLevel="0" collapsed="false">
      <c r="A22" s="9" t="s">
        <v>68</v>
      </c>
      <c r="B22" s="9" t="s">
        <v>76</v>
      </c>
      <c r="C22" s="20" t="n">
        <v>1</v>
      </c>
      <c r="D22" s="21" t="s">
        <v>75</v>
      </c>
      <c r="E22" s="22" t="n">
        <f aca="false">HYPERLINK("https://www.homedepot.com/p/USG-Sheetrock-Brand-4-5-Gal-Plus-3-Lightweight-All-Purpose-Pre-Mixed-Joint-Compound-381466/100321604",20.98)</f>
        <v>20.98</v>
      </c>
      <c r="F22" s="23" t="n">
        <f aca="false">C22*E22</f>
        <v>20.98</v>
      </c>
      <c r="G22" s="9"/>
    </row>
    <row r="23" customFormat="false" ht="15" hidden="false" customHeight="true" outlineLevel="0" collapsed="false">
      <c r="A23" s="9" t="s">
        <v>68</v>
      </c>
      <c r="B23" s="9" t="s">
        <v>77</v>
      </c>
      <c r="C23" s="20" t="n">
        <v>3</v>
      </c>
      <c r="D23" s="21" t="s">
        <v>56</v>
      </c>
      <c r="E23" s="22" t="n">
        <f aca="false">HYPERLINK("https://www.homedepot.com/p/3M-2-7-8-in-x-4-7-8-in-x-1-in-Fine-Medium-Drywall-Sanding-Sponge-9093DCNA/100353968",4.97)</f>
        <v>4.97</v>
      </c>
      <c r="F23" s="23" t="n">
        <f aca="false">C23*E23</f>
        <v>14.91</v>
      </c>
      <c r="G23" s="9"/>
    </row>
    <row r="24" customFormat="false" ht="15" hidden="false" customHeight="true" outlineLevel="0" collapsed="false">
      <c r="A24" s="9" t="s">
        <v>78</v>
      </c>
      <c r="B24" s="9" t="s">
        <v>79</v>
      </c>
      <c r="C24" s="20" t="n">
        <v>12</v>
      </c>
      <c r="D24" s="21" t="s">
        <v>80</v>
      </c>
      <c r="E24" s="22" t="n">
        <f aca="false">HYPERLINK("https://www.homedepot.com/p/Woodgrain-Millwork-623-1-2-in-x-3-1-4-in-x-96-in-Primed-MDF-Baseboard-Moulding-1-Piece-8-Total-Linear-Feet-10001007/203209370",8.98)</f>
        <v>8.98</v>
      </c>
      <c r="F24" s="23" t="n">
        <f aca="false">C24*E24</f>
        <v>107.76</v>
      </c>
      <c r="G24" s="9" t="s">
        <v>81</v>
      </c>
    </row>
    <row r="25" customFormat="false" ht="15" hidden="false" customHeight="true" outlineLevel="0" collapsed="false">
      <c r="A25" s="9" t="s">
        <v>78</v>
      </c>
      <c r="B25" s="9" t="s">
        <v>82</v>
      </c>
      <c r="C25" s="20" t="n">
        <v>8</v>
      </c>
      <c r="D25" s="21" t="s">
        <v>56</v>
      </c>
      <c r="E25" s="22" t="n">
        <f aca="false">HYPERLINK("https://www.homedepot.com/p/House-of-Fara-3-4-in-x-3-1-4-in-x-3-1-4-in-MDF-Primed-Plinth-Block-8621/205426918",3.98)</f>
        <v>3.98</v>
      </c>
      <c r="F25" s="23" t="n">
        <f aca="false">C25*E25</f>
        <v>31.84</v>
      </c>
      <c r="G25" s="9"/>
    </row>
    <row r="26" customFormat="false" ht="15" hidden="false" customHeight="true" outlineLevel="0" collapsed="false">
      <c r="A26" s="9" t="s">
        <v>78</v>
      </c>
      <c r="B26" s="9" t="s">
        <v>83</v>
      </c>
      <c r="C26" s="20" t="n">
        <v>1</v>
      </c>
      <c r="D26" s="21" t="s">
        <v>72</v>
      </c>
      <c r="E26" s="22" t="n">
        <f aca="false">HYPERLINK("https://www.homedepot.com/p/Grip-Rite-2-in-18-Gauge-Brad-Nails-1000-Pack-GRF18200/202308594",7.98)</f>
        <v>7.98</v>
      </c>
      <c r="F26" s="23" t="n">
        <f aca="false">C26*E26</f>
        <v>7.98</v>
      </c>
      <c r="G26" s="9"/>
    </row>
    <row r="27" customFormat="false" ht="15" hidden="false" customHeight="true" outlineLevel="0" collapsed="false">
      <c r="A27" s="9" t="s">
        <v>78</v>
      </c>
      <c r="B27" s="9" t="s">
        <v>84</v>
      </c>
      <c r="C27" s="20" t="n">
        <v>3</v>
      </c>
      <c r="D27" s="21" t="s">
        <v>85</v>
      </c>
      <c r="E27" s="22" t="n">
        <f aca="false">HYPERLINK("https://www.homedepot.com/p/DAP-Alex-Plus-10-1-oz-White-Acrylic-Latex-Caulk-Plus-Silicone-18103/100097524",3.98)</f>
        <v>3.98</v>
      </c>
      <c r="F27" s="23" t="n">
        <f aca="false">C27*E27</f>
        <v>11.94</v>
      </c>
      <c r="G27" s="9"/>
    </row>
    <row r="28" customFormat="false" ht="15" hidden="false" customHeight="true" outlineLevel="0" collapsed="false">
      <c r="A28" s="9" t="s">
        <v>78</v>
      </c>
      <c r="B28" s="9" t="s">
        <v>86</v>
      </c>
      <c r="C28" s="20" t="n">
        <v>1</v>
      </c>
      <c r="D28" s="21" t="s">
        <v>85</v>
      </c>
      <c r="E28" s="22" t="n">
        <f aca="false">HYPERLINK("https://www.homedepot.com/p/DAP-Plastic-Wood-X-with-DryDex-5-5-oz-All-Purpose-Wood-Filler-00540/206667344",6.98)</f>
        <v>6.98</v>
      </c>
      <c r="F28" s="23" t="n">
        <f aca="false">C28*E28</f>
        <v>6.98</v>
      </c>
      <c r="G28" s="9"/>
    </row>
    <row r="29" customFormat="false" ht="15" hidden="false" customHeight="true" outlineLevel="0" collapsed="false">
      <c r="A29" s="9" t="s">
        <v>87</v>
      </c>
      <c r="B29" s="9" t="s">
        <v>88</v>
      </c>
      <c r="C29" s="20" t="n">
        <v>5</v>
      </c>
      <c r="D29" s="21" t="s">
        <v>89</v>
      </c>
      <c r="E29" s="22" t="n">
        <f aca="false">HYPERLINK("https://www.homedepot.com/p/Homax-20-oz-Wall-Orange-Peel-Low-Odor-Water-Based-Texture-Spray-Paint-4092-06/100154309",16.98)</f>
        <v>16.98</v>
      </c>
      <c r="F29" s="23" t="n">
        <f aca="false">C29*E29</f>
        <v>84.9</v>
      </c>
      <c r="G29" s="9" t="s">
        <v>90</v>
      </c>
    </row>
    <row r="30" customFormat="false" ht="15" hidden="false" customHeight="true" outlineLevel="0" collapsed="false">
      <c r="A30" s="9" t="s">
        <v>91</v>
      </c>
      <c r="B30" s="9" t="s">
        <v>92</v>
      </c>
      <c r="C30" s="20" t="n">
        <v>2</v>
      </c>
      <c r="D30" s="21" t="s">
        <v>60</v>
      </c>
      <c r="E30" s="22" t="n">
        <f aca="false">HYPERLINK("https://www.homedepot.com/p/Zinsser-Bulls-Eye-1-2-3-1-Gal-White-Water-Based-Interior-Exterior-Primer-and-Sealer-2001/100398391",28.98)</f>
        <v>28.98</v>
      </c>
      <c r="F30" s="23" t="n">
        <f aca="false">C30*E30</f>
        <v>57.96</v>
      </c>
      <c r="G30" s="9" t="s">
        <v>93</v>
      </c>
    </row>
    <row r="31" customFormat="false" ht="15" hidden="false" customHeight="true" outlineLevel="0" collapsed="false">
      <c r="A31" s="9" t="s">
        <v>91</v>
      </c>
      <c r="B31" s="9" t="s">
        <v>94</v>
      </c>
      <c r="C31" s="20" t="n">
        <v>3</v>
      </c>
      <c r="D31" s="21" t="s">
        <v>60</v>
      </c>
      <c r="E31" s="22" t="n">
        <f aca="false">HYPERLINK("https://www.homedepot.com/p/BEHR-MARQUEE-1-gal-Ultra-Pure-White-Eggshell-Enamel-Interior-Paint-Primer-245001/204747490",54.98)</f>
        <v>54.98</v>
      </c>
      <c r="F31" s="23" t="n">
        <f aca="false">C31*E31</f>
        <v>164.94</v>
      </c>
      <c r="G31" s="9" t="s">
        <v>95</v>
      </c>
    </row>
    <row r="32" customFormat="false" ht="15" hidden="false" customHeight="true" outlineLevel="0" collapsed="false">
      <c r="A32" s="9" t="s">
        <v>91</v>
      </c>
      <c r="B32" s="9" t="s">
        <v>96</v>
      </c>
      <c r="C32" s="20" t="n">
        <v>1</v>
      </c>
      <c r="D32" s="21" t="s">
        <v>97</v>
      </c>
      <c r="E32" s="22" t="n">
        <f aca="false">HYPERLINK("https://www.homedepot.com/p/BEHR-MARQUEE-1-qt-Ultra-Pure-White-Semi-Gloss-Enamel-Interior-Paint-Primer-345004/204747525",23.98)</f>
        <v>23.98</v>
      </c>
      <c r="F32" s="23" t="n">
        <f aca="false">C32*E32</f>
        <v>23.98</v>
      </c>
      <c r="G32" s="9" t="s">
        <v>98</v>
      </c>
    </row>
    <row r="33" customFormat="false" ht="15" hidden="false" customHeight="true" outlineLevel="0" collapsed="false">
      <c r="A33" s="9" t="s">
        <v>91</v>
      </c>
      <c r="B33" s="9" t="s">
        <v>99</v>
      </c>
      <c r="C33" s="20" t="n">
        <v>2</v>
      </c>
      <c r="D33" s="21" t="s">
        <v>100</v>
      </c>
      <c r="E33" s="22" t="n">
        <f aca="false">HYPERLINK("https://www.homedepot.com/p/Wooster-9-in-x-3-8-in-Pro-American-Contractor-High-Density-Knit-Roller-Cover-3-Pack-0-RC660-9/205625717",11.97)</f>
        <v>11.97</v>
      </c>
      <c r="F33" s="23" t="n">
        <f aca="false">C33*E33</f>
        <v>23.94</v>
      </c>
      <c r="G33" s="9"/>
    </row>
    <row r="34" customFormat="false" ht="15" hidden="false" customHeight="true" outlineLevel="0" collapsed="false">
      <c r="A34" s="9" t="s">
        <v>91</v>
      </c>
      <c r="B34" s="9" t="s">
        <v>101</v>
      </c>
      <c r="C34" s="20" t="n">
        <v>1</v>
      </c>
      <c r="D34" s="21" t="s">
        <v>56</v>
      </c>
      <c r="E34" s="22" t="n">
        <f aca="false">HYPERLINK("https://www.homedepot.com/p/Wooster-9-in-Sherlock-Frame-with-Jumbo-Koter-Cage-and-4-ft-to-8-ft-Sherlock-Extension-Pole-0R0170000/300697399",16.98)</f>
        <v>16.98</v>
      </c>
      <c r="F34" s="23" t="n">
        <f aca="false">C34*E34</f>
        <v>16.98</v>
      </c>
      <c r="G34" s="9"/>
    </row>
    <row r="35" customFormat="false" ht="15" hidden="false" customHeight="true" outlineLevel="0" collapsed="false">
      <c r="A35" s="9" t="s">
        <v>91</v>
      </c>
      <c r="B35" s="9" t="s">
        <v>102</v>
      </c>
      <c r="C35" s="20" t="n">
        <v>1</v>
      </c>
      <c r="D35" s="21" t="s">
        <v>103</v>
      </c>
      <c r="E35" s="22" t="n">
        <f aca="false">HYPERLINK("https://www.homedepot.com/p/HDX-9-in-Paint-Tray-Set-3-Piece-HD-RM-333/205879558",9.97)</f>
        <v>9.97</v>
      </c>
      <c r="F35" s="23" t="n">
        <f aca="false">C35*E35</f>
        <v>9.97</v>
      </c>
      <c r="G35" s="9"/>
    </row>
    <row r="36" customFormat="false" ht="15" hidden="false" customHeight="true" outlineLevel="0" collapsed="false">
      <c r="A36" s="9" t="s">
        <v>91</v>
      </c>
      <c r="B36" s="9" t="s">
        <v>104</v>
      </c>
      <c r="C36" s="20" t="n">
        <v>2</v>
      </c>
      <c r="D36" s="21" t="s">
        <v>56</v>
      </c>
      <c r="E36" s="22" t="n">
        <f aca="false">HYPERLINK("https://www.homedepot.com/p/Wooster-2-1-2-in-Pro-Nylon-Polyester-Angle-Sash-Brush-0H21170024/100168988",8.98)</f>
        <v>8.98</v>
      </c>
      <c r="F36" s="23" t="n">
        <f aca="false">C36*E36</f>
        <v>17.96</v>
      </c>
      <c r="G36" s="9"/>
    </row>
    <row r="37" customFormat="false" ht="15" hidden="false" customHeight="true" outlineLevel="0" collapsed="false">
      <c r="A37" s="9" t="s">
        <v>91</v>
      </c>
      <c r="B37" s="9" t="s">
        <v>105</v>
      </c>
      <c r="C37" s="20" t="n">
        <v>3</v>
      </c>
      <c r="D37" s="21" t="s">
        <v>53</v>
      </c>
      <c r="E37" s="22" t="n">
        <f aca="false">HYPERLINK("https://www.homedepot.com/p/ScotchBlue-1-88-in-x-60-yds-Sharp-Lines-Multi-Surface-Painters-Tape-2090-48TC/305375312",7.98)</f>
        <v>7.98</v>
      </c>
      <c r="F37" s="23" t="n">
        <f aca="false">C37*E37</f>
        <v>23.94</v>
      </c>
      <c r="G37" s="9"/>
    </row>
    <row r="38" customFormat="false" ht="15" hidden="false" customHeight="true" outlineLevel="0" collapsed="false">
      <c r="A38" s="9" t="s">
        <v>106</v>
      </c>
      <c r="B38" s="9" t="s">
        <v>107</v>
      </c>
      <c r="C38" s="20" t="n">
        <v>2</v>
      </c>
      <c r="D38" s="21" t="s">
        <v>100</v>
      </c>
      <c r="E38" s="22" t="n">
        <f aca="false">HYPERLINK("https://www.homedepot.com/p/HDX-9-ft-x-12-ft-0-7-mil-Drop-Cloth-2-Pack-DCHD-07-2/202528629",6.98)</f>
        <v>6.98</v>
      </c>
      <c r="F38" s="23" t="n">
        <f aca="false">C38*E38</f>
        <v>13.96</v>
      </c>
      <c r="G38" s="9"/>
    </row>
    <row r="39" customFormat="false" ht="15" hidden="false" customHeight="true" outlineLevel="0" collapsed="false">
      <c r="A39" s="9" t="s">
        <v>106</v>
      </c>
      <c r="B39" s="9" t="s">
        <v>108</v>
      </c>
      <c r="C39" s="20" t="n">
        <v>1</v>
      </c>
      <c r="D39" s="21" t="s">
        <v>109</v>
      </c>
      <c r="E39" s="23" t="n">
        <v>75</v>
      </c>
      <c r="F39" s="23" t="n">
        <f aca="false">C39*E39</f>
        <v>75</v>
      </c>
      <c r="G39" s="9" t="s">
        <v>110</v>
      </c>
    </row>
    <row r="40" customFormat="false" ht="15" hidden="false" customHeight="true" outlineLevel="0" collapsed="false">
      <c r="A40" s="24" t="s">
        <v>111</v>
      </c>
      <c r="B40" s="24"/>
      <c r="C40" s="24"/>
      <c r="D40" s="24"/>
      <c r="E40" s="24"/>
      <c r="F40" s="24"/>
      <c r="G40" s="24"/>
    </row>
    <row r="41" customFormat="false" ht="15" hidden="false" customHeight="true" outlineLevel="0" collapsed="false">
      <c r="A41" s="25" t="s">
        <v>112</v>
      </c>
      <c r="B41" s="25" t="s">
        <v>113</v>
      </c>
      <c r="C41" s="26" t="n">
        <v>223</v>
      </c>
      <c r="D41" s="27" t="s">
        <v>45</v>
      </c>
      <c r="E41" s="28" t="n">
        <v>0.85</v>
      </c>
      <c r="F41" s="28" t="n">
        <f aca="false">C41*E41</f>
        <v>189.55</v>
      </c>
      <c r="G41" s="25" t="s">
        <v>114</v>
      </c>
    </row>
    <row r="42" customFormat="false" ht="15" hidden="false" customHeight="true" outlineLevel="0" collapsed="false">
      <c r="A42" s="25" t="s">
        <v>112</v>
      </c>
      <c r="B42" s="25" t="s">
        <v>115</v>
      </c>
      <c r="C42" s="26" t="n">
        <v>130</v>
      </c>
      <c r="D42" s="27" t="s">
        <v>45</v>
      </c>
      <c r="E42" s="28" t="n">
        <v>2.75</v>
      </c>
      <c r="F42" s="28" t="n">
        <f aca="false">C42*E42</f>
        <v>357.5</v>
      </c>
      <c r="G42" s="25" t="s">
        <v>114</v>
      </c>
    </row>
    <row r="43" customFormat="false" ht="15" hidden="false" customHeight="true" outlineLevel="0" collapsed="false">
      <c r="A43" s="25" t="s">
        <v>112</v>
      </c>
      <c r="B43" s="25" t="s">
        <v>116</v>
      </c>
      <c r="C43" s="26" t="n">
        <v>130</v>
      </c>
      <c r="D43" s="27" t="s">
        <v>45</v>
      </c>
      <c r="E43" s="28" t="n">
        <v>1.5</v>
      </c>
      <c r="F43" s="28" t="n">
        <f aca="false">C43*E43</f>
        <v>195</v>
      </c>
      <c r="G43" s="25" t="s">
        <v>114</v>
      </c>
    </row>
    <row r="44" customFormat="false" ht="15" hidden="false" customHeight="true" outlineLevel="0" collapsed="false">
      <c r="A44" s="25" t="s">
        <v>112</v>
      </c>
      <c r="B44" s="25" t="s">
        <v>117</v>
      </c>
      <c r="C44" s="26" t="n">
        <v>92</v>
      </c>
      <c r="D44" s="27" t="s">
        <v>50</v>
      </c>
      <c r="E44" s="28" t="n">
        <v>1.25</v>
      </c>
      <c r="F44" s="28" t="n">
        <f aca="false">C44*E44</f>
        <v>115</v>
      </c>
      <c r="G44" s="25" t="s">
        <v>114</v>
      </c>
    </row>
    <row r="45" customFormat="false" ht="15" hidden="false" customHeight="true" outlineLevel="0" collapsed="false">
      <c r="A45" s="25" t="s">
        <v>112</v>
      </c>
      <c r="B45" s="25" t="s">
        <v>118</v>
      </c>
      <c r="C45" s="26" t="n">
        <v>92</v>
      </c>
      <c r="D45" s="27" t="s">
        <v>50</v>
      </c>
      <c r="E45" s="28" t="n">
        <v>7</v>
      </c>
      <c r="F45" s="28" t="n">
        <f aca="false">C45*E45</f>
        <v>644</v>
      </c>
      <c r="G45" s="25" t="s">
        <v>119</v>
      </c>
    </row>
    <row r="46" customFormat="false" ht="15" hidden="false" customHeight="true" outlineLevel="0" collapsed="false">
      <c r="A46" s="25" t="s">
        <v>112</v>
      </c>
      <c r="B46" s="25" t="s">
        <v>120</v>
      </c>
      <c r="C46" s="26" t="n">
        <v>500</v>
      </c>
      <c r="D46" s="27" t="s">
        <v>45</v>
      </c>
      <c r="E46" s="28" t="n">
        <v>1.75</v>
      </c>
      <c r="F46" s="28" t="n">
        <f aca="false">C46*E46</f>
        <v>875</v>
      </c>
      <c r="G46" s="25" t="s">
        <v>114</v>
      </c>
    </row>
    <row r="47" customFormat="false" ht="15" hidden="false" customHeight="true" outlineLevel="0" collapsed="false">
      <c r="A47" s="29" t="s">
        <v>121</v>
      </c>
      <c r="B47" s="29"/>
      <c r="C47" s="29"/>
      <c r="D47" s="29"/>
      <c r="E47" s="29"/>
      <c r="F47" s="29"/>
      <c r="G47" s="29"/>
    </row>
    <row r="48" customFormat="false" ht="15" hidden="false" customHeight="true" outlineLevel="0" collapsed="false">
      <c r="A48" s="30" t="s">
        <v>122</v>
      </c>
      <c r="B48" s="30" t="s">
        <v>123</v>
      </c>
      <c r="C48" s="31" t="n">
        <v>223</v>
      </c>
      <c r="D48" s="32" t="s">
        <v>45</v>
      </c>
      <c r="E48" s="33" t="n">
        <v>2</v>
      </c>
      <c r="F48" s="33" t="n">
        <f aca="false">C48*E48</f>
        <v>446</v>
      </c>
      <c r="G48" s="30" t="s">
        <v>114</v>
      </c>
    </row>
    <row r="49" customFormat="false" ht="15" hidden="false" customHeight="true" outlineLevel="0" collapsed="false">
      <c r="A49" s="30" t="s">
        <v>122</v>
      </c>
      <c r="B49" s="30" t="s">
        <v>124</v>
      </c>
      <c r="C49" s="31" t="n">
        <v>30</v>
      </c>
      <c r="D49" s="32" t="s">
        <v>50</v>
      </c>
      <c r="E49" s="33" t="n">
        <v>8</v>
      </c>
      <c r="F49" s="33" t="n">
        <f aca="false">C49*E49</f>
        <v>240</v>
      </c>
      <c r="G49" s="30" t="s">
        <v>125</v>
      </c>
    </row>
    <row r="50" customFormat="false" ht="15" hidden="false" customHeight="true" outlineLevel="0" collapsed="false">
      <c r="A50" s="30" t="s">
        <v>122</v>
      </c>
      <c r="B50" s="30" t="s">
        <v>126</v>
      </c>
      <c r="C50" s="31" t="n">
        <v>223</v>
      </c>
      <c r="D50" s="32" t="s">
        <v>45</v>
      </c>
      <c r="E50" s="33" t="n">
        <v>3.5</v>
      </c>
      <c r="F50" s="33" t="n">
        <f aca="false">C50*E50</f>
        <v>780.5</v>
      </c>
      <c r="G50" s="30" t="s">
        <v>127</v>
      </c>
    </row>
    <row r="51" customFormat="false" ht="15" hidden="false" customHeight="true" outlineLevel="0" collapsed="false">
      <c r="A51" s="34" t="s">
        <v>128</v>
      </c>
      <c r="B51" s="34"/>
      <c r="C51" s="34"/>
      <c r="D51" s="34"/>
      <c r="E51" s="34"/>
      <c r="F51" s="35" t="n">
        <f aca="false">SUM(F8:F49)</f>
        <v>5826.88</v>
      </c>
      <c r="G51" s="36"/>
    </row>
  </sheetData>
  <mergeCells count="5">
    <mergeCell ref="A1:G1"/>
    <mergeCell ref="B5:G5"/>
    <mergeCell ref="A40:G40"/>
    <mergeCell ref="A47:G47"/>
    <mergeCell ref="A51:E5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4"/>
    <col collapsed="false" customWidth="true" hidden="false" outlineLevel="0" max="4" min="3" style="1" width="8"/>
    <col collapsed="false" customWidth="true" hidden="false" outlineLevel="0" max="5" min="5" style="1" width="12"/>
    <col collapsed="false" customWidth="true" hidden="false" outlineLevel="0" max="6" min="6" style="1" width="14"/>
    <col collapsed="false" customWidth="true" hidden="false" outlineLevel="0" max="7" min="7" style="1" width="44"/>
  </cols>
  <sheetData>
    <row r="1" customFormat="false" ht="17.25" hidden="false" customHeight="true" outlineLevel="0" collapsed="false">
      <c r="A1" s="19" t="s">
        <v>129</v>
      </c>
      <c r="B1" s="19"/>
      <c r="C1" s="19"/>
      <c r="D1" s="19"/>
      <c r="E1" s="19"/>
      <c r="F1" s="19"/>
      <c r="G1" s="19"/>
    </row>
    <row r="3" customFormat="false" ht="15" hidden="false" customHeight="true" outlineLevel="0" collapsed="false">
      <c r="A3" s="14" t="s">
        <v>31</v>
      </c>
      <c r="B3" s="16" t="s">
        <v>12</v>
      </c>
    </row>
    <row r="4" customFormat="false" ht="15" hidden="false" customHeight="true" outlineLevel="0" collapsed="false">
      <c r="A4" s="14" t="s">
        <v>32</v>
      </c>
      <c r="B4" s="16" t="s">
        <v>13</v>
      </c>
    </row>
    <row r="5" customFormat="false" ht="15" hidden="false" customHeight="true" outlineLevel="0" collapsed="false">
      <c r="A5" s="14" t="s">
        <v>34</v>
      </c>
      <c r="B5" s="4" t="s">
        <v>130</v>
      </c>
      <c r="C5" s="4"/>
      <c r="D5" s="4"/>
      <c r="E5" s="4"/>
      <c r="F5" s="4"/>
      <c r="G5" s="4"/>
    </row>
    <row r="6" customFormat="false" ht="15" hidden="false" customHeight="true" outlineLevel="0" collapsed="false">
      <c r="A6" s="14" t="s">
        <v>131</v>
      </c>
      <c r="B6" s="16" t="s">
        <v>132</v>
      </c>
    </row>
    <row r="8" customFormat="false" ht="26.25" hidden="false" customHeight="true" outlineLevel="0" collapsed="false">
      <c r="A8" s="7" t="s">
        <v>36</v>
      </c>
      <c r="B8" s="7" t="s">
        <v>37</v>
      </c>
      <c r="C8" s="7" t="s">
        <v>38</v>
      </c>
      <c r="D8" s="7" t="s">
        <v>39</v>
      </c>
      <c r="E8" s="7" t="s">
        <v>40</v>
      </c>
      <c r="F8" s="7" t="s">
        <v>41</v>
      </c>
      <c r="G8" s="7" t="s">
        <v>42</v>
      </c>
    </row>
    <row r="9" customFormat="false" ht="15" hidden="false" customHeight="true" outlineLevel="0" collapsed="false">
      <c r="A9" s="9" t="s">
        <v>43</v>
      </c>
      <c r="B9" s="9" t="s">
        <v>133</v>
      </c>
      <c r="C9" s="20" t="n">
        <v>169</v>
      </c>
      <c r="D9" s="21" t="s">
        <v>45</v>
      </c>
      <c r="E9" s="22" t="n">
        <f aca="false">HYPERLINK("https://www.homedepot.com/p/Lifeproof-Trail-Oak-8-7-in-W-x-47-6-in-L-Luxury-Vinyl-Plank-Flooring-20-06-sq-ft-case-I96715L/300699284",3.79)</f>
        <v>3.79</v>
      </c>
      <c r="F9" s="23" t="n">
        <f aca="false">C9*E9</f>
        <v>640.51</v>
      </c>
      <c r="G9" s="9"/>
    </row>
    <row r="10" customFormat="false" ht="15" hidden="false" customHeight="true" outlineLevel="0" collapsed="false">
      <c r="A10" s="9" t="s">
        <v>43</v>
      </c>
      <c r="B10" s="9" t="s">
        <v>134</v>
      </c>
      <c r="C10" s="20" t="n">
        <v>169</v>
      </c>
      <c r="D10" s="21" t="s">
        <v>45</v>
      </c>
      <c r="E10" s="22" t="n">
        <f aca="false">HYPERLINK("https://www.homedepot.com/p/Roberts-6-mil-10-ft-x-25-ft-Polyethylene-Film-Vapor-Barrier-70-115/100564393",0.35)</f>
        <v>0.35</v>
      </c>
      <c r="F10" s="23" t="n">
        <f aca="false">C10*E10</f>
        <v>59.15</v>
      </c>
      <c r="G10" s="9" t="s">
        <v>135</v>
      </c>
    </row>
    <row r="11" customFormat="false" ht="15" hidden="false" customHeight="true" outlineLevel="0" collapsed="false">
      <c r="A11" s="9" t="s">
        <v>43</v>
      </c>
      <c r="B11" s="9" t="s">
        <v>136</v>
      </c>
      <c r="C11" s="20" t="n">
        <v>2</v>
      </c>
      <c r="D11" s="21" t="s">
        <v>56</v>
      </c>
      <c r="E11" s="22" t="n">
        <f aca="false">HYPERLINK("https://www.homedepot.com/p/Zamma-Unfinished-Red-Oak-3-4-in-Thick-x-2-in-Wide-x-78-in-Length-Hardwood-T-Molding-01400502078/205721044",14.98)</f>
        <v>14.98</v>
      </c>
      <c r="F11" s="23" t="n">
        <f aca="false">C11*E11</f>
        <v>29.96</v>
      </c>
      <c r="G11" s="9"/>
    </row>
    <row r="12" customFormat="false" ht="15" hidden="false" customHeight="true" outlineLevel="0" collapsed="false">
      <c r="A12" s="9" t="s">
        <v>43</v>
      </c>
      <c r="B12" s="9" t="s">
        <v>137</v>
      </c>
      <c r="C12" s="20" t="n">
        <v>7</v>
      </c>
      <c r="D12" s="21" t="s">
        <v>80</v>
      </c>
      <c r="E12" s="22" t="n">
        <f aca="false">HYPERLINK("https://www.homedepot.com/p/Woodgrain-Millwork-WM-126-1-2-in-x-3-4-in-x-96-in-Primed-Finger-Jointed-Quarter-Round-Moulding-10001853/206082006",3.98)</f>
        <v>3.98</v>
      </c>
      <c r="F12" s="23" t="n">
        <f aca="false">C12*E12</f>
        <v>27.86</v>
      </c>
      <c r="G12" s="9"/>
    </row>
    <row r="13" customFormat="false" ht="15" hidden="false" customHeight="true" outlineLevel="0" collapsed="false">
      <c r="A13" s="9" t="s">
        <v>68</v>
      </c>
      <c r="B13" s="9" t="s">
        <v>138</v>
      </c>
      <c r="C13" s="20" t="n">
        <v>10</v>
      </c>
      <c r="D13" s="21" t="s">
        <v>70</v>
      </c>
      <c r="E13" s="22" t="n">
        <f aca="false">HYPERLINK("https://www.homedepot.com/p/USG-Sheetrock-Brand-1-2-in-x-4-ft-x-8-ft-UltraLight-Mold-Tough-Drywall-14302111708/203768542",14.98)</f>
        <v>14.98</v>
      </c>
      <c r="F13" s="23" t="n">
        <f aca="false">C13*E13</f>
        <v>149.8</v>
      </c>
      <c r="G13" s="9"/>
    </row>
    <row r="14" customFormat="false" ht="15" hidden="false" customHeight="true" outlineLevel="0" collapsed="false">
      <c r="A14" s="9" t="s">
        <v>68</v>
      </c>
      <c r="B14" s="9" t="s">
        <v>71</v>
      </c>
      <c r="C14" s="20" t="n">
        <v>3</v>
      </c>
      <c r="D14" s="21" t="s">
        <v>72</v>
      </c>
      <c r="E14" s="22" t="n">
        <f aca="false">HYPERLINK("https://www.homedepot.com/p/Grip-Rite-6-x-1-1-4-in-Philips-Bugle-Head-Coarse-Thread-Sharp-Point-Drywall-Screws-1-lb-Pack-114CDWS1/100153837",8.47)</f>
        <v>8.47</v>
      </c>
      <c r="F14" s="23" t="n">
        <f aca="false">C14*E14</f>
        <v>25.41</v>
      </c>
      <c r="G14" s="9"/>
    </row>
    <row r="15" customFormat="false" ht="15" hidden="false" customHeight="true" outlineLevel="0" collapsed="false">
      <c r="A15" s="9" t="s">
        <v>68</v>
      </c>
      <c r="B15" s="9" t="s">
        <v>73</v>
      </c>
      <c r="C15" s="20" t="n">
        <v>3</v>
      </c>
      <c r="D15" s="21" t="s">
        <v>53</v>
      </c>
      <c r="E15" s="22" t="n">
        <f aca="false">HYPERLINK("https://www.homedepot.com/p/USG-Sheetrock-Brand-2-1-16-in-x-250-ft-Paper-Joint-Tape-382175/100321614",4.88)</f>
        <v>4.88</v>
      </c>
      <c r="F15" s="23" t="n">
        <f aca="false">C15*E15</f>
        <v>14.64</v>
      </c>
      <c r="G15" s="9"/>
    </row>
    <row r="16" customFormat="false" ht="15" hidden="false" customHeight="true" outlineLevel="0" collapsed="false">
      <c r="A16" s="9" t="s">
        <v>68</v>
      </c>
      <c r="B16" s="9" t="s">
        <v>74</v>
      </c>
      <c r="C16" s="20" t="n">
        <v>3</v>
      </c>
      <c r="D16" s="21" t="s">
        <v>75</v>
      </c>
      <c r="E16" s="22" t="n">
        <f aca="false">HYPERLINK("https://www.homedepot.com/p/USG-Sheetrock-Brand-4-5-Gal-All-Purpose-Pre-Mixed-Joint-Compound-380501/100321602",19.48)</f>
        <v>19.48</v>
      </c>
      <c r="F16" s="23" t="n">
        <f aca="false">C16*E16</f>
        <v>58.44</v>
      </c>
      <c r="G16" s="9"/>
    </row>
    <row r="17" customFormat="false" ht="15" hidden="false" customHeight="true" outlineLevel="0" collapsed="false">
      <c r="A17" s="9" t="s">
        <v>68</v>
      </c>
      <c r="B17" s="9" t="s">
        <v>76</v>
      </c>
      <c r="C17" s="20" t="n">
        <v>1</v>
      </c>
      <c r="D17" s="21" t="s">
        <v>75</v>
      </c>
      <c r="E17" s="22" t="n">
        <f aca="false">HYPERLINK("https://www.homedepot.com/p/USG-Sheetrock-Brand-4-5-Gal-Plus-3-Lightweight-All-Purpose-Pre-Mixed-Joint-Compound-381466/100321604",20.98)</f>
        <v>20.98</v>
      </c>
      <c r="F17" s="23" t="n">
        <f aca="false">C17*E17</f>
        <v>20.98</v>
      </c>
      <c r="G17" s="9"/>
    </row>
    <row r="18" customFormat="false" ht="15" hidden="false" customHeight="true" outlineLevel="0" collapsed="false">
      <c r="A18" s="9" t="s">
        <v>68</v>
      </c>
      <c r="B18" s="9" t="s">
        <v>77</v>
      </c>
      <c r="C18" s="20" t="n">
        <v>3</v>
      </c>
      <c r="D18" s="21" t="s">
        <v>56</v>
      </c>
      <c r="E18" s="22" t="n">
        <f aca="false">HYPERLINK("https://www.homedepot.com/p/3M-2-7-8-in-x-4-7-8-in-x-1-in-Fine-Medium-Drywall-Sanding-Sponge-9093DCNA/100353968",4.97)</f>
        <v>4.97</v>
      </c>
      <c r="F18" s="23" t="n">
        <f aca="false">C18*E18</f>
        <v>14.91</v>
      </c>
      <c r="G18" s="9"/>
    </row>
    <row r="19" customFormat="false" ht="15" hidden="false" customHeight="true" outlineLevel="0" collapsed="false">
      <c r="A19" s="9" t="s">
        <v>139</v>
      </c>
      <c r="B19" s="9" t="s">
        <v>140</v>
      </c>
      <c r="C19" s="20" t="n">
        <v>1</v>
      </c>
      <c r="D19" s="21" t="s">
        <v>56</v>
      </c>
      <c r="E19" s="22" t="n">
        <f aca="false">HYPERLINK("https://www.homedepot.com/p/Masonite-32-in-x-80-in-Lincoln-Park-Primed-1-Panel-Solid-Core-Composite-Interior-Door-Slab-10555/204418170",218)</f>
        <v>218</v>
      </c>
      <c r="F19" s="23" t="n">
        <f aca="false">C19*E19</f>
        <v>218</v>
      </c>
      <c r="G19" s="9"/>
    </row>
    <row r="20" customFormat="false" ht="15" hidden="false" customHeight="true" outlineLevel="0" collapsed="false">
      <c r="A20" s="9" t="s">
        <v>139</v>
      </c>
      <c r="B20" s="9" t="s">
        <v>141</v>
      </c>
      <c r="C20" s="20" t="n">
        <v>1</v>
      </c>
      <c r="D20" s="21" t="s">
        <v>103</v>
      </c>
      <c r="E20" s="22" t="n">
        <f aca="false">HYPERLINK("https://www.homedepot.com/p/Alexandria-Moulding-2-3-4-in-x-6-7-8-in-x-84-in-Primed-MDF-Door-Casing-Kit-02004-93084C/309671432",42.98)</f>
        <v>42.98</v>
      </c>
      <c r="F20" s="23" t="n">
        <f aca="false">C20*E20</f>
        <v>42.98</v>
      </c>
      <c r="G20" s="9"/>
    </row>
    <row r="21" customFormat="false" ht="15" hidden="false" customHeight="true" outlineLevel="0" collapsed="false">
      <c r="A21" s="9" t="s">
        <v>139</v>
      </c>
      <c r="B21" s="9" t="s">
        <v>142</v>
      </c>
      <c r="C21" s="20" t="n">
        <v>1</v>
      </c>
      <c r="D21" s="21" t="s">
        <v>56</v>
      </c>
      <c r="E21" s="22" t="n">
        <f aca="false">HYPERLINK("https://www.homedepot.com/p/Kwikset-Juno-Satin-Nickel-Passage-Hall-Closet-Door-Knob-720J-15-6AL-RCS/100689825",29.98)</f>
        <v>29.98</v>
      </c>
      <c r="F21" s="23" t="n">
        <f aca="false">C21*E21</f>
        <v>29.98</v>
      </c>
      <c r="G21" s="9"/>
    </row>
    <row r="22" customFormat="false" ht="15" hidden="false" customHeight="true" outlineLevel="0" collapsed="false">
      <c r="A22" s="9" t="s">
        <v>139</v>
      </c>
      <c r="B22" s="9" t="s">
        <v>143</v>
      </c>
      <c r="C22" s="20" t="n">
        <v>1</v>
      </c>
      <c r="D22" s="21" t="s">
        <v>100</v>
      </c>
      <c r="E22" s="22" t="n">
        <f aca="false">HYPERLINK("https://www.homedepot.com/p/Everbilt-3-1-2-in-Satin-Nickel-5-8-in-Radius-Security-Door-Hinges-Value-Pack-3-Pack-14810/202818897",13.47)</f>
        <v>13.47</v>
      </c>
      <c r="F22" s="23" t="n">
        <f aca="false">C22*E22</f>
        <v>13.47</v>
      </c>
      <c r="G22" s="9"/>
    </row>
    <row r="23" customFormat="false" ht="15" hidden="false" customHeight="true" outlineLevel="0" collapsed="false">
      <c r="A23" s="9" t="s">
        <v>139</v>
      </c>
      <c r="B23" s="9" t="s">
        <v>144</v>
      </c>
      <c r="C23" s="20" t="n">
        <v>1</v>
      </c>
      <c r="D23" s="21" t="s">
        <v>56</v>
      </c>
      <c r="E23" s="22" t="n">
        <f aca="false">HYPERLINK("https://www.homedepot.com/p/Everbilt-Rigid-Door-Stop-in-Satin-Nickel-15578/202033984",4.98)</f>
        <v>4.98</v>
      </c>
      <c r="F23" s="23" t="n">
        <f aca="false">C23*E23</f>
        <v>4.98</v>
      </c>
      <c r="G23" s="9"/>
    </row>
    <row r="24" customFormat="false" ht="15" hidden="false" customHeight="true" outlineLevel="0" collapsed="false">
      <c r="A24" s="9" t="s">
        <v>78</v>
      </c>
      <c r="B24" s="9" t="s">
        <v>79</v>
      </c>
      <c r="C24" s="20" t="n">
        <v>7</v>
      </c>
      <c r="D24" s="21" t="s">
        <v>80</v>
      </c>
      <c r="E24" s="22" t="n">
        <f aca="false">HYPERLINK("https://www.homedepot.com/p/Woodgrain-Millwork-623-1-2-in-x-3-1-4-in-x-96-in-Primed-MDF-Baseboard-Moulding-1-Piece-8-Total-Linear-Feet-10001007/203209370",8.98)</f>
        <v>8.98</v>
      </c>
      <c r="F24" s="23" t="n">
        <f aca="false">C24*E24</f>
        <v>62.86</v>
      </c>
      <c r="G24" s="9" t="s">
        <v>145</v>
      </c>
    </row>
    <row r="25" customFormat="false" ht="15" hidden="false" customHeight="true" outlineLevel="0" collapsed="false">
      <c r="A25" s="9" t="s">
        <v>78</v>
      </c>
      <c r="B25" s="9" t="s">
        <v>82</v>
      </c>
      <c r="C25" s="20" t="n">
        <v>6</v>
      </c>
      <c r="D25" s="21" t="s">
        <v>56</v>
      </c>
      <c r="E25" s="22" t="n">
        <f aca="false">HYPERLINK("https://www.homedepot.com/p/House-of-Fara-3-4-in-x-3-1-4-in-x-3-1-4-in-MDF-Primed-Plinth-Block-8621/205426918",3.98)</f>
        <v>3.98</v>
      </c>
      <c r="F25" s="23" t="n">
        <f aca="false">C25*E25</f>
        <v>23.88</v>
      </c>
      <c r="G25" s="9"/>
    </row>
    <row r="26" customFormat="false" ht="15" hidden="false" customHeight="true" outlineLevel="0" collapsed="false">
      <c r="A26" s="9" t="s">
        <v>78</v>
      </c>
      <c r="B26" s="9" t="s">
        <v>83</v>
      </c>
      <c r="C26" s="20" t="n">
        <v>1</v>
      </c>
      <c r="D26" s="21" t="s">
        <v>72</v>
      </c>
      <c r="E26" s="22" t="n">
        <f aca="false">HYPERLINK("https://www.homedepot.com/p/Grip-Rite-2-in-18-Gauge-Brad-Nails-1000-Pack-GRF18200/202308594",7.98)</f>
        <v>7.98</v>
      </c>
      <c r="F26" s="23" t="n">
        <f aca="false">C26*E26</f>
        <v>7.98</v>
      </c>
      <c r="G26" s="9"/>
    </row>
    <row r="27" customFormat="false" ht="15" hidden="false" customHeight="true" outlineLevel="0" collapsed="false">
      <c r="A27" s="9" t="s">
        <v>78</v>
      </c>
      <c r="B27" s="9" t="s">
        <v>84</v>
      </c>
      <c r="C27" s="20" t="n">
        <v>2</v>
      </c>
      <c r="D27" s="21" t="s">
        <v>85</v>
      </c>
      <c r="E27" s="22" t="n">
        <f aca="false">HYPERLINK("https://www.homedepot.com/p/DAP-Alex-Plus-10-1-oz-White-Acrylic-Latex-Caulk-Plus-Silicone-18103/100097524",3.98)</f>
        <v>3.98</v>
      </c>
      <c r="F27" s="23" t="n">
        <f aca="false">C27*E27</f>
        <v>7.96</v>
      </c>
      <c r="G27" s="9"/>
    </row>
    <row r="28" customFormat="false" ht="15" hidden="false" customHeight="true" outlineLevel="0" collapsed="false">
      <c r="A28" s="9" t="s">
        <v>78</v>
      </c>
      <c r="B28" s="9" t="s">
        <v>86</v>
      </c>
      <c r="C28" s="20" t="n">
        <v>1</v>
      </c>
      <c r="D28" s="21" t="s">
        <v>85</v>
      </c>
      <c r="E28" s="22" t="n">
        <f aca="false">HYPERLINK("https://www.homedepot.com/p/DAP-Plastic-Wood-X-with-DryDex-5-5-oz-All-Purpose-Wood-Filler-00540/206667344",6.98)</f>
        <v>6.98</v>
      </c>
      <c r="F28" s="23" t="n">
        <f aca="false">C28*E28</f>
        <v>6.98</v>
      </c>
      <c r="G28" s="9"/>
    </row>
    <row r="29" customFormat="false" ht="15" hidden="false" customHeight="true" outlineLevel="0" collapsed="false">
      <c r="A29" s="9" t="s">
        <v>87</v>
      </c>
      <c r="B29" s="9" t="s">
        <v>88</v>
      </c>
      <c r="C29" s="20" t="n">
        <v>5</v>
      </c>
      <c r="D29" s="21" t="s">
        <v>89</v>
      </c>
      <c r="E29" s="22" t="n">
        <f aca="false">HYPERLINK("https://www.homedepot.com/p/Homax-20-oz-Wall-Orange-Peel-Low-Odor-Water-Based-Texture-Spray-Paint-4092-06/100154309",16.98)</f>
        <v>16.98</v>
      </c>
      <c r="F29" s="23" t="n">
        <f aca="false">C29*E29</f>
        <v>84.9</v>
      </c>
      <c r="G29" s="9" t="s">
        <v>90</v>
      </c>
    </row>
    <row r="30" customFormat="false" ht="15" hidden="false" customHeight="true" outlineLevel="0" collapsed="false">
      <c r="A30" s="9" t="s">
        <v>91</v>
      </c>
      <c r="B30" s="9" t="s">
        <v>146</v>
      </c>
      <c r="C30" s="20" t="n">
        <v>2</v>
      </c>
      <c r="D30" s="21" t="s">
        <v>60</v>
      </c>
      <c r="E30" s="22" t="n">
        <f aca="false">HYPERLINK("https://www.homedepot.com/p/Zinsser-Mold-Killing-1-Gal-White-Water-Based-Interior-Exterior-Primer-276049/202520508",28.98)</f>
        <v>28.98</v>
      </c>
      <c r="F30" s="23" t="n">
        <f aca="false">C30*E30</f>
        <v>57.96</v>
      </c>
      <c r="G30" s="9" t="s">
        <v>93</v>
      </c>
    </row>
    <row r="31" customFormat="false" ht="15" hidden="false" customHeight="true" outlineLevel="0" collapsed="false">
      <c r="A31" s="9" t="s">
        <v>91</v>
      </c>
      <c r="B31" s="9" t="s">
        <v>94</v>
      </c>
      <c r="C31" s="20" t="n">
        <v>2</v>
      </c>
      <c r="D31" s="21" t="s">
        <v>60</v>
      </c>
      <c r="E31" s="22" t="n">
        <f aca="false">HYPERLINK("https://www.homedepot.com/p/BEHR-MARQUEE-1-gal-Ultra-Pure-White-Eggshell-Enamel-Interior-Paint-Primer-245001/204747490",54.98)</f>
        <v>54.98</v>
      </c>
      <c r="F31" s="23" t="n">
        <f aca="false">C31*E31</f>
        <v>109.96</v>
      </c>
      <c r="G31" s="9" t="s">
        <v>147</v>
      </c>
    </row>
    <row r="32" customFormat="false" ht="15" hidden="false" customHeight="true" outlineLevel="0" collapsed="false">
      <c r="A32" s="9" t="s">
        <v>91</v>
      </c>
      <c r="B32" s="9" t="s">
        <v>96</v>
      </c>
      <c r="C32" s="20" t="n">
        <v>1</v>
      </c>
      <c r="D32" s="21" t="s">
        <v>97</v>
      </c>
      <c r="E32" s="22" t="n">
        <f aca="false">HYPERLINK("https://www.homedepot.com/p/BEHR-MARQUEE-1-qt-Ultra-Pure-White-Semi-Gloss-Enamel-Interior-Paint-Primer-345004/204747525",23.98)</f>
        <v>23.98</v>
      </c>
      <c r="F32" s="23" t="n">
        <f aca="false">C32*E32</f>
        <v>23.98</v>
      </c>
      <c r="G32" s="9" t="s">
        <v>98</v>
      </c>
    </row>
    <row r="33" customFormat="false" ht="15" hidden="false" customHeight="true" outlineLevel="0" collapsed="false">
      <c r="A33" s="9" t="s">
        <v>91</v>
      </c>
      <c r="B33" s="9" t="s">
        <v>99</v>
      </c>
      <c r="C33" s="20" t="n">
        <v>2</v>
      </c>
      <c r="D33" s="21" t="s">
        <v>100</v>
      </c>
      <c r="E33" s="22" t="n">
        <f aca="false">HYPERLINK("https://www.homedepot.com/p/Wooster-9-in-x-3-8-in-Pro-American-Contractor-High-Density-Knit-Roller-Cover-3-Pack-0-RC660-9/205625717",11.97)</f>
        <v>11.97</v>
      </c>
      <c r="F33" s="23" t="n">
        <f aca="false">C33*E33</f>
        <v>23.94</v>
      </c>
      <c r="G33" s="9"/>
    </row>
    <row r="34" customFormat="false" ht="15" hidden="false" customHeight="true" outlineLevel="0" collapsed="false">
      <c r="A34" s="9" t="s">
        <v>91</v>
      </c>
      <c r="B34" s="9" t="s">
        <v>101</v>
      </c>
      <c r="C34" s="20" t="n">
        <v>1</v>
      </c>
      <c r="D34" s="21" t="s">
        <v>56</v>
      </c>
      <c r="E34" s="22" t="n">
        <f aca="false">HYPERLINK("https://www.homedepot.com/p/Wooster-9-in-Sherlock-Frame-with-Jumbo-Koter-Cage-and-4-ft-to-8-ft-Sherlock-Extension-Pole-0R0170000/300697399",16.98)</f>
        <v>16.98</v>
      </c>
      <c r="F34" s="23" t="n">
        <f aca="false">C34*E34</f>
        <v>16.98</v>
      </c>
      <c r="G34" s="9"/>
    </row>
    <row r="35" customFormat="false" ht="15" hidden="false" customHeight="true" outlineLevel="0" collapsed="false">
      <c r="A35" s="9" t="s">
        <v>91</v>
      </c>
      <c r="B35" s="9" t="s">
        <v>102</v>
      </c>
      <c r="C35" s="20" t="n">
        <v>1</v>
      </c>
      <c r="D35" s="21" t="s">
        <v>103</v>
      </c>
      <c r="E35" s="22" t="n">
        <f aca="false">HYPERLINK("https://www.homedepot.com/p/HDX-9-in-Paint-Tray-Set-3-Piece-HD-RM-333/205879558",9.97)</f>
        <v>9.97</v>
      </c>
      <c r="F35" s="23" t="n">
        <f aca="false">C35*E35</f>
        <v>9.97</v>
      </c>
      <c r="G35" s="9"/>
    </row>
    <row r="36" customFormat="false" ht="15" hidden="false" customHeight="true" outlineLevel="0" collapsed="false">
      <c r="A36" s="9" t="s">
        <v>91</v>
      </c>
      <c r="B36" s="9" t="s">
        <v>104</v>
      </c>
      <c r="C36" s="20" t="n">
        <v>2</v>
      </c>
      <c r="D36" s="21" t="s">
        <v>56</v>
      </c>
      <c r="E36" s="22" t="n">
        <f aca="false">HYPERLINK("https://www.homedepot.com/p/Wooster-2-1-2-in-Pro-Nylon-Polyester-Angle-Sash-Brush-0H21170024/100168988",8.98)</f>
        <v>8.98</v>
      </c>
      <c r="F36" s="23" t="n">
        <f aca="false">C36*E36</f>
        <v>17.96</v>
      </c>
      <c r="G36" s="9"/>
    </row>
    <row r="37" customFormat="false" ht="15" hidden="false" customHeight="true" outlineLevel="0" collapsed="false">
      <c r="A37" s="9" t="s">
        <v>91</v>
      </c>
      <c r="B37" s="9" t="s">
        <v>105</v>
      </c>
      <c r="C37" s="20" t="n">
        <v>3</v>
      </c>
      <c r="D37" s="21" t="s">
        <v>53</v>
      </c>
      <c r="E37" s="22" t="n">
        <f aca="false">HYPERLINK("https://www.homedepot.com/p/ScotchBlue-1-88-in-x-60-yds-Sharp-Lines-Multi-Surface-Painters-Tape-2090-48TC/305375312",7.98)</f>
        <v>7.98</v>
      </c>
      <c r="F37" s="23" t="n">
        <f aca="false">C37*E37</f>
        <v>23.94</v>
      </c>
      <c r="G37" s="9"/>
    </row>
    <row r="38" customFormat="false" ht="15" hidden="false" customHeight="true" outlineLevel="0" collapsed="false">
      <c r="A38" s="9" t="s">
        <v>91</v>
      </c>
      <c r="B38" s="9" t="s">
        <v>148</v>
      </c>
      <c r="C38" s="20" t="n">
        <v>1</v>
      </c>
      <c r="D38" s="21" t="s">
        <v>149</v>
      </c>
      <c r="E38" s="22" t="n">
        <f aca="false">HYPERLINK("https://www.homedepot.com/p/Wooster-9-in-Sherlock-Frame-with-Jumbo-Koter-Cage-and-4-ft-to-8-ft-Sherlock-Extension-Pole-0R0170000/300697399",39.98)</f>
        <v>39.98</v>
      </c>
      <c r="F38" s="23" t="n">
        <f aca="false">C38*E38</f>
        <v>39.98</v>
      </c>
      <c r="G38" s="9"/>
    </row>
    <row r="39" customFormat="false" ht="15" hidden="false" customHeight="true" outlineLevel="0" collapsed="false">
      <c r="A39" s="9" t="s">
        <v>106</v>
      </c>
      <c r="B39" s="9" t="s">
        <v>107</v>
      </c>
      <c r="C39" s="20" t="n">
        <v>2</v>
      </c>
      <c r="D39" s="21" t="s">
        <v>100</v>
      </c>
      <c r="E39" s="22" t="n">
        <f aca="false">HYPERLINK("https://www.homedepot.com/p/HDX-9-ft-x-12-ft-0-7-mil-Drop-Cloth-2-Pack-DCHD-07-2/202528629",6.98)</f>
        <v>6.98</v>
      </c>
      <c r="F39" s="23" t="n">
        <f aca="false">C39*E39</f>
        <v>13.96</v>
      </c>
      <c r="G39" s="9"/>
    </row>
    <row r="40" customFormat="false" ht="15" hidden="false" customHeight="true" outlineLevel="0" collapsed="false">
      <c r="A40" s="9" t="s">
        <v>106</v>
      </c>
      <c r="B40" s="9" t="s">
        <v>108</v>
      </c>
      <c r="C40" s="20" t="n">
        <v>1</v>
      </c>
      <c r="D40" s="21" t="s">
        <v>109</v>
      </c>
      <c r="E40" s="23" t="n">
        <v>100</v>
      </c>
      <c r="F40" s="23" t="n">
        <f aca="false">C40*E40</f>
        <v>100</v>
      </c>
      <c r="G40" s="9" t="s">
        <v>110</v>
      </c>
    </row>
    <row r="41" customFormat="false" ht="15" hidden="false" customHeight="true" outlineLevel="0" collapsed="false">
      <c r="A41" s="24" t="s">
        <v>111</v>
      </c>
      <c r="B41" s="24"/>
      <c r="C41" s="24"/>
      <c r="D41" s="24"/>
      <c r="E41" s="24"/>
      <c r="F41" s="24"/>
      <c r="G41" s="24"/>
    </row>
    <row r="42" customFormat="false" ht="15" hidden="false" customHeight="true" outlineLevel="0" collapsed="false">
      <c r="A42" s="25" t="s">
        <v>112</v>
      </c>
      <c r="B42" s="25" t="s">
        <v>150</v>
      </c>
      <c r="C42" s="26" t="n">
        <v>169</v>
      </c>
      <c r="D42" s="27" t="s">
        <v>45</v>
      </c>
      <c r="E42" s="28" t="n">
        <v>3</v>
      </c>
      <c r="F42" s="28" t="n">
        <f aca="false">C42*E42</f>
        <v>507</v>
      </c>
      <c r="G42" s="25" t="s">
        <v>151</v>
      </c>
    </row>
    <row r="43" customFormat="false" ht="15" hidden="false" customHeight="true" outlineLevel="0" collapsed="false">
      <c r="A43" s="25" t="s">
        <v>112</v>
      </c>
      <c r="B43" s="25" t="s">
        <v>115</v>
      </c>
      <c r="C43" s="26" t="n">
        <v>320</v>
      </c>
      <c r="D43" s="27" t="s">
        <v>45</v>
      </c>
      <c r="E43" s="28" t="n">
        <v>2.75</v>
      </c>
      <c r="F43" s="28" t="n">
        <f aca="false">C43*E43</f>
        <v>880</v>
      </c>
      <c r="G43" s="25" t="s">
        <v>114</v>
      </c>
    </row>
    <row r="44" customFormat="false" ht="15" hidden="false" customHeight="true" outlineLevel="0" collapsed="false">
      <c r="A44" s="25" t="s">
        <v>112</v>
      </c>
      <c r="B44" s="25" t="s">
        <v>152</v>
      </c>
      <c r="C44" s="26" t="n">
        <v>320</v>
      </c>
      <c r="D44" s="27" t="s">
        <v>45</v>
      </c>
      <c r="E44" s="28" t="n">
        <v>1.5</v>
      </c>
      <c r="F44" s="28" t="n">
        <f aca="false">C44*E44</f>
        <v>480</v>
      </c>
      <c r="G44" s="25" t="s">
        <v>114</v>
      </c>
    </row>
    <row r="45" customFormat="false" ht="15" hidden="false" customHeight="true" outlineLevel="0" collapsed="false">
      <c r="A45" s="25" t="s">
        <v>112</v>
      </c>
      <c r="B45" s="25" t="s">
        <v>153</v>
      </c>
      <c r="C45" s="26" t="n">
        <v>1</v>
      </c>
      <c r="D45" s="27" t="s">
        <v>56</v>
      </c>
      <c r="E45" s="28" t="n">
        <v>325</v>
      </c>
      <c r="F45" s="28" t="n">
        <f aca="false">C45*E45</f>
        <v>325</v>
      </c>
      <c r="G45" s="25" t="s">
        <v>154</v>
      </c>
    </row>
    <row r="46" customFormat="false" ht="15" hidden="false" customHeight="true" outlineLevel="0" collapsed="false">
      <c r="A46" s="25" t="s">
        <v>112</v>
      </c>
      <c r="B46" s="25" t="s">
        <v>155</v>
      </c>
      <c r="C46" s="26" t="n">
        <v>49</v>
      </c>
      <c r="D46" s="27" t="s">
        <v>50</v>
      </c>
      <c r="E46" s="28" t="n">
        <v>8.25</v>
      </c>
      <c r="F46" s="28" t="n">
        <f aca="false">C46*E46</f>
        <v>404.25</v>
      </c>
      <c r="G46" s="25" t="s">
        <v>114</v>
      </c>
    </row>
    <row r="47" customFormat="false" ht="15" hidden="false" customHeight="true" outlineLevel="0" collapsed="false">
      <c r="A47" s="25" t="s">
        <v>112</v>
      </c>
      <c r="B47" s="25" t="s">
        <v>156</v>
      </c>
      <c r="C47" s="26" t="n">
        <v>420</v>
      </c>
      <c r="D47" s="27" t="s">
        <v>45</v>
      </c>
      <c r="E47" s="28" t="n">
        <v>1.75</v>
      </c>
      <c r="F47" s="28" t="n">
        <f aca="false">C47*E47</f>
        <v>735</v>
      </c>
      <c r="G47" s="25" t="s">
        <v>114</v>
      </c>
    </row>
    <row r="48" customFormat="false" ht="15" hidden="false" customHeight="true" outlineLevel="0" collapsed="false">
      <c r="A48" s="34" t="s">
        <v>128</v>
      </c>
      <c r="B48" s="34"/>
      <c r="C48" s="34"/>
      <c r="D48" s="34"/>
      <c r="E48" s="34"/>
      <c r="F48" s="35" t="n">
        <f aca="false">SUM(F9:F47)</f>
        <v>5315.51</v>
      </c>
      <c r="G48" s="36"/>
    </row>
  </sheetData>
  <mergeCells count="4">
    <mergeCell ref="A1:G1"/>
    <mergeCell ref="B5:G5"/>
    <mergeCell ref="A41:G41"/>
    <mergeCell ref="A48:E4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4"/>
    <col collapsed="false" customWidth="true" hidden="false" outlineLevel="0" max="4" min="3" style="1" width="8"/>
    <col collapsed="false" customWidth="true" hidden="false" outlineLevel="0" max="5" min="5" style="1" width="12"/>
    <col collapsed="false" customWidth="true" hidden="false" outlineLevel="0" max="6" min="6" style="1" width="14"/>
    <col collapsed="false" customWidth="true" hidden="false" outlineLevel="0" max="7" min="7" style="1" width="44"/>
  </cols>
  <sheetData>
    <row r="1" customFormat="false" ht="17.25" hidden="false" customHeight="true" outlineLevel="0" collapsed="false">
      <c r="A1" s="19" t="s">
        <v>157</v>
      </c>
      <c r="B1" s="19"/>
      <c r="C1" s="19"/>
      <c r="D1" s="19"/>
      <c r="E1" s="19"/>
      <c r="F1" s="19"/>
      <c r="G1" s="19"/>
    </row>
    <row r="3" customFormat="false" ht="15" hidden="false" customHeight="true" outlineLevel="0" collapsed="false">
      <c r="A3" s="14" t="s">
        <v>31</v>
      </c>
      <c r="B3" s="16" t="s">
        <v>15</v>
      </c>
    </row>
    <row r="4" customFormat="false" ht="15" hidden="false" customHeight="true" outlineLevel="0" collapsed="false">
      <c r="A4" s="14" t="s">
        <v>32</v>
      </c>
      <c r="B4" s="16" t="s">
        <v>16</v>
      </c>
    </row>
    <row r="5" customFormat="false" ht="23.25" hidden="false" customHeight="true" outlineLevel="0" collapsed="false">
      <c r="A5" s="14" t="s">
        <v>34</v>
      </c>
      <c r="B5" s="4" t="s">
        <v>158</v>
      </c>
      <c r="C5" s="4"/>
      <c r="D5" s="4"/>
      <c r="E5" s="4"/>
      <c r="F5" s="4"/>
      <c r="G5" s="4"/>
    </row>
    <row r="6" customFormat="false" ht="15" hidden="false" customHeight="true" outlineLevel="0" collapsed="false">
      <c r="A6" s="14" t="s">
        <v>131</v>
      </c>
      <c r="B6" s="16" t="s">
        <v>159</v>
      </c>
    </row>
    <row r="8" customFormat="false" ht="26.25" hidden="false" customHeight="true" outlineLevel="0" collapsed="false">
      <c r="A8" s="7" t="s">
        <v>36</v>
      </c>
      <c r="B8" s="7" t="s">
        <v>37</v>
      </c>
      <c r="C8" s="7" t="s">
        <v>38</v>
      </c>
      <c r="D8" s="7" t="s">
        <v>39</v>
      </c>
      <c r="E8" s="7" t="s">
        <v>40</v>
      </c>
      <c r="F8" s="7" t="s">
        <v>41</v>
      </c>
      <c r="G8" s="7" t="s">
        <v>42</v>
      </c>
    </row>
    <row r="9" customFormat="false" ht="15" hidden="false" customHeight="true" outlineLevel="0" collapsed="false">
      <c r="A9" s="9" t="s">
        <v>43</v>
      </c>
      <c r="B9" s="9" t="s">
        <v>160</v>
      </c>
      <c r="C9" s="20" t="n">
        <v>47</v>
      </c>
      <c r="D9" s="21" t="s">
        <v>45</v>
      </c>
      <c r="E9" s="22" t="n">
        <f aca="false">HYPERLINK("https://www.homedepot.com/p/Lifeproof-Trail-Oak-8-7-in-W-x-47-6-in-L-Luxury-Vinyl-Plank-Flooring-20-06-sq-ft-case-I96715L/300699284",3.79)</f>
        <v>3.79</v>
      </c>
      <c r="F9" s="23" t="n">
        <f aca="false">C9*E9</f>
        <v>178.13</v>
      </c>
      <c r="G9" s="9"/>
    </row>
    <row r="10" customFormat="false" ht="15" hidden="false" customHeight="true" outlineLevel="0" collapsed="false">
      <c r="A10" s="9" t="s">
        <v>43</v>
      </c>
      <c r="B10" s="9" t="s">
        <v>161</v>
      </c>
      <c r="C10" s="20" t="n">
        <v>47</v>
      </c>
      <c r="D10" s="21" t="s">
        <v>45</v>
      </c>
      <c r="E10" s="22" t="n">
        <f aca="false">HYPERLINK("https://www.homedepot.com/p/Roberts-6-mil-10-ft-x-25-ft-Polyethylene-Film-Vapor-Barrier-70-115/100564393",0.35)</f>
        <v>0.35</v>
      </c>
      <c r="F10" s="23" t="n">
        <f aca="false">C10*E10</f>
        <v>16.45</v>
      </c>
      <c r="G10" s="9"/>
    </row>
    <row r="11" customFormat="false" ht="15" hidden="false" customHeight="true" outlineLevel="0" collapsed="false">
      <c r="A11" s="9" t="s">
        <v>43</v>
      </c>
      <c r="B11" s="9" t="s">
        <v>162</v>
      </c>
      <c r="C11" s="20" t="n">
        <v>1</v>
      </c>
      <c r="D11" s="21" t="s">
        <v>56</v>
      </c>
      <c r="E11" s="22" t="n">
        <f aca="false">HYPERLINK("https://www.homedepot.com/p/Zamma-Unfinished-Red-Oak-3-4-in-Thick-x-2-in-Wide-x-78-in-Length-Hardwood-T-Molding-01400502078/205721044",14.98)</f>
        <v>14.98</v>
      </c>
      <c r="F11" s="23" t="n">
        <f aca="false">C11*E11</f>
        <v>14.98</v>
      </c>
      <c r="G11" s="9"/>
    </row>
    <row r="12" customFormat="false" ht="15" hidden="false" customHeight="true" outlineLevel="0" collapsed="false">
      <c r="A12" s="9" t="s">
        <v>163</v>
      </c>
      <c r="B12" s="9" t="s">
        <v>164</v>
      </c>
      <c r="C12" s="20" t="n">
        <v>1</v>
      </c>
      <c r="D12" s="21" t="s">
        <v>56</v>
      </c>
      <c r="E12" s="22" t="n">
        <f aca="false">HYPERLINK("https://www.homedepot.com/p/DreamLine-DreamStone-34-in-L-x-54-in-W-x-84-in-H-Alcove-Shower-Kit-with-Shower-Wall-and-Shower-Pan-in-Modern-White-BWDS54341MC0001/319836218",3149.18)</f>
        <v>3149.18</v>
      </c>
      <c r="F12" s="23" t="n">
        <f aca="false">C12*E12</f>
        <v>3149.18</v>
      </c>
      <c r="G12" s="9" t="s">
        <v>165</v>
      </c>
    </row>
    <row r="13" customFormat="false" ht="15" hidden="false" customHeight="true" outlineLevel="0" collapsed="false">
      <c r="A13" s="9" t="s">
        <v>163</v>
      </c>
      <c r="B13" s="9" t="s">
        <v>166</v>
      </c>
      <c r="C13" s="20" t="n">
        <v>1</v>
      </c>
      <c r="D13" s="21" t="s">
        <v>103</v>
      </c>
      <c r="E13" s="22" t="n">
        <f aca="false">HYPERLINK("https://www.homedepot.com/p/MOEN-Adler-Single-Handle-1-Spray-Tub-and-Shower-Faucet-in-Brushed-Nickel-Valve-Included-82604SRN/312295481",109)</f>
        <v>109</v>
      </c>
      <c r="F13" s="23" t="n">
        <f aca="false">C13*E13</f>
        <v>109</v>
      </c>
      <c r="G13" s="9" t="s">
        <v>167</v>
      </c>
    </row>
    <row r="14" customFormat="false" ht="15" hidden="false" customHeight="true" outlineLevel="0" collapsed="false">
      <c r="A14" s="9" t="s">
        <v>163</v>
      </c>
      <c r="B14" s="9" t="s">
        <v>168</v>
      </c>
      <c r="C14" s="20" t="n">
        <v>1</v>
      </c>
      <c r="D14" s="21" t="s">
        <v>56</v>
      </c>
      <c r="E14" s="22" t="n">
        <f aca="false">HYPERLINK("https://www.homedepot.com/p/Glacier-Bay-10-in-Wall-Mount-Shower-Arm-in-Brushed-Nickel-3075-554/305238221",19.98)</f>
        <v>19.98</v>
      </c>
      <c r="F14" s="23" t="n">
        <f aca="false">C14*E14</f>
        <v>19.98</v>
      </c>
      <c r="G14" s="9"/>
    </row>
    <row r="15" customFormat="false" ht="15" hidden="false" customHeight="true" outlineLevel="0" collapsed="false">
      <c r="A15" s="9" t="s">
        <v>163</v>
      </c>
      <c r="B15" s="9" t="s">
        <v>169</v>
      </c>
      <c r="C15" s="20" t="n">
        <v>3</v>
      </c>
      <c r="D15" s="21" t="s">
        <v>85</v>
      </c>
      <c r="E15" s="22" t="n">
        <f aca="false">HYPERLINK("https://www.homedepot.com/p/DAP-Kwik-Seal-Plus-10-1-oz-White-Kitchen-and-Bath-Adhesive-Caulk-18510/100634364",5.98)</f>
        <v>5.98</v>
      </c>
      <c r="F15" s="23" t="n">
        <f aca="false">C15*E15</f>
        <v>17.94</v>
      </c>
      <c r="G15" s="9" t="s">
        <v>170</v>
      </c>
    </row>
    <row r="16" customFormat="false" ht="15" hidden="false" customHeight="true" outlineLevel="0" collapsed="false">
      <c r="A16" s="9" t="s">
        <v>163</v>
      </c>
      <c r="B16" s="9" t="s">
        <v>171</v>
      </c>
      <c r="C16" s="20" t="n">
        <v>2</v>
      </c>
      <c r="D16" s="21" t="s">
        <v>85</v>
      </c>
      <c r="E16" s="22" t="n">
        <f aca="false">HYPERLINK("https://www.homedepot.com/p/Loctite-Power-Grab-Express-9-fl-oz-All-Purpose-Construction-Adhesive-2029846/206736498",7.98)</f>
        <v>7.98</v>
      </c>
      <c r="F16" s="23" t="n">
        <f aca="false">C16*E16</f>
        <v>15.96</v>
      </c>
      <c r="G16" s="9"/>
    </row>
    <row r="17" customFormat="false" ht="15" hidden="false" customHeight="true" outlineLevel="0" collapsed="false">
      <c r="A17" s="9" t="s">
        <v>172</v>
      </c>
      <c r="B17" s="9" t="s">
        <v>173</v>
      </c>
      <c r="C17" s="20" t="n">
        <v>98</v>
      </c>
      <c r="D17" s="21" t="s">
        <v>45</v>
      </c>
      <c r="E17" s="22" t="n">
        <f aca="false">HYPERLINK("https://www.homedepot.com/p/Daltile-Restore-Bright-White-3-in-x-6-in-Ceramic-Modular-Wall-Tile-12-5-sq-ft-case-RE15836MODHD1P2/307562453",5.98)</f>
        <v>5.98</v>
      </c>
      <c r="F17" s="23" t="n">
        <f aca="false">C17*E17</f>
        <v>586.04</v>
      </c>
      <c r="G17" s="9" t="s">
        <v>174</v>
      </c>
    </row>
    <row r="18" customFormat="false" ht="15" hidden="false" customHeight="true" outlineLevel="0" collapsed="false">
      <c r="A18" s="9" t="s">
        <v>172</v>
      </c>
      <c r="B18" s="9" t="s">
        <v>175</v>
      </c>
      <c r="C18" s="20" t="n">
        <v>28</v>
      </c>
      <c r="D18" s="21" t="s">
        <v>50</v>
      </c>
      <c r="E18" s="22" t="n">
        <f aca="false">HYPERLINK("https://www.homedepot.com/p/Daltile-Restore-Bright-White-2-in-x-6-in-Ceramic-Bullnose-Wall-Tile-0-08-sq-ft-Piece-RE15826BN1P2/307562448",2.98)</f>
        <v>2.98</v>
      </c>
      <c r="F18" s="23" t="n">
        <f aca="false">C18*E18</f>
        <v>83.44</v>
      </c>
      <c r="G18" s="9" t="s">
        <v>176</v>
      </c>
    </row>
    <row r="19" customFormat="false" ht="15" hidden="false" customHeight="true" outlineLevel="0" collapsed="false">
      <c r="A19" s="9" t="s">
        <v>172</v>
      </c>
      <c r="B19" s="9" t="s">
        <v>177</v>
      </c>
      <c r="C19" s="20" t="n">
        <v>5</v>
      </c>
      <c r="D19" s="21" t="s">
        <v>70</v>
      </c>
      <c r="E19" s="22" t="n">
        <f aca="false">HYPERLINK("https://www.homedepot.com/p/James-Hardie-HardieBacker-0-42-in-x-3-ft-x-5-ft-Cement-Backerboard-220023/100170507",14.68)</f>
        <v>14.68</v>
      </c>
      <c r="F19" s="23" t="n">
        <f aca="false">C19*E19</f>
        <v>73.4</v>
      </c>
      <c r="G19" s="9" t="s">
        <v>178</v>
      </c>
    </row>
    <row r="20" customFormat="false" ht="15" hidden="false" customHeight="true" outlineLevel="0" collapsed="false">
      <c r="A20" s="9" t="s">
        <v>172</v>
      </c>
      <c r="B20" s="9" t="s">
        <v>179</v>
      </c>
      <c r="C20" s="20" t="n">
        <v>1</v>
      </c>
      <c r="D20" s="21" t="s">
        <v>149</v>
      </c>
      <c r="E20" s="22" t="n">
        <f aca="false">HYPERLINK("https://www.homedepot.com/p/Grip-Rite-1-5-8-in-Cement-Board-Screw-1-lb-Box-158CEMBR1/205690610",12.98)</f>
        <v>12.98</v>
      </c>
      <c r="F20" s="23" t="n">
        <f aca="false">C20*E20</f>
        <v>12.98</v>
      </c>
      <c r="G20" s="9"/>
    </row>
    <row r="21" customFormat="false" ht="15" hidden="false" customHeight="true" outlineLevel="0" collapsed="false">
      <c r="A21" s="9" t="s">
        <v>172</v>
      </c>
      <c r="B21" s="9" t="s">
        <v>180</v>
      </c>
      <c r="C21" s="20" t="n">
        <v>3</v>
      </c>
      <c r="D21" s="21" t="s">
        <v>62</v>
      </c>
      <c r="E21" s="22" t="n">
        <f aca="false">HYPERLINK("https://www.homedepot.com/p/Custom-Building-Products-VersaBond-50-lb-White-Professional-Polymer-Modified-Thinset-Mortar-MTSW50/100091767",21.98)</f>
        <v>21.98</v>
      </c>
      <c r="F21" s="23" t="n">
        <f aca="false">C21*E21</f>
        <v>65.94</v>
      </c>
      <c r="G21" s="9"/>
    </row>
    <row r="22" customFormat="false" ht="15" hidden="false" customHeight="true" outlineLevel="0" collapsed="false">
      <c r="A22" s="9" t="s">
        <v>172</v>
      </c>
      <c r="B22" s="9" t="s">
        <v>181</v>
      </c>
      <c r="C22" s="20" t="n">
        <v>2</v>
      </c>
      <c r="D22" s="21" t="s">
        <v>62</v>
      </c>
      <c r="E22" s="22" t="n">
        <f aca="false">HYPERLINK("https://www.homedepot.com/p/Custom-Building-Products-Polyblend-Plus-10-lb-Bright-White-Non-Sanded-Grout-PBPG38110/308958095",16.98)</f>
        <v>16.98</v>
      </c>
      <c r="F22" s="23" t="n">
        <f aca="false">C22*E22</f>
        <v>33.96</v>
      </c>
      <c r="G22" s="9"/>
    </row>
    <row r="23" customFormat="false" ht="15" hidden="false" customHeight="true" outlineLevel="0" collapsed="false">
      <c r="A23" s="9" t="s">
        <v>172</v>
      </c>
      <c r="B23" s="9" t="s">
        <v>182</v>
      </c>
      <c r="C23" s="20" t="n">
        <v>1</v>
      </c>
      <c r="D23" s="21" t="s">
        <v>183</v>
      </c>
      <c r="E23" s="22" t="n">
        <f aca="false">HYPERLINK("https://www.homedepot.com/p/Custom-Building-Products-TileLab-22-oz-Grout-and-Tile-Sealer-Spray-TLPSRA22Z/206410048",13.98)</f>
        <v>13.98</v>
      </c>
      <c r="F23" s="23" t="n">
        <f aca="false">C23*E23</f>
        <v>13.98</v>
      </c>
      <c r="G23" s="9"/>
    </row>
    <row r="24" customFormat="false" ht="15" hidden="false" customHeight="true" outlineLevel="0" collapsed="false">
      <c r="A24" s="9" t="s">
        <v>172</v>
      </c>
      <c r="B24" s="9" t="s">
        <v>184</v>
      </c>
      <c r="C24" s="20" t="n">
        <v>1</v>
      </c>
      <c r="D24" s="21" t="s">
        <v>149</v>
      </c>
      <c r="E24" s="22" t="n">
        <f aca="false">HYPERLINK("https://www.homedepot.com/p/QEP-LASH-Tile-Leveling-Aligning-and-Spacer-Clips-Part-A-and-B-100-Pack-99720/300648014",24.98)</f>
        <v>24.98</v>
      </c>
      <c r="F24" s="23" t="n">
        <f aca="false">C24*E24</f>
        <v>24.98</v>
      </c>
      <c r="G24" s="9"/>
    </row>
    <row r="25" customFormat="false" ht="15" hidden="false" customHeight="true" outlineLevel="0" collapsed="false">
      <c r="A25" s="9" t="s">
        <v>172</v>
      </c>
      <c r="B25" s="9" t="s">
        <v>185</v>
      </c>
      <c r="C25" s="20" t="n">
        <v>2</v>
      </c>
      <c r="D25" s="21" t="s">
        <v>85</v>
      </c>
      <c r="E25" s="22" t="n">
        <f aca="false">HYPERLINK("https://www.homedepot.com/p/DAP-Kwik-Seal-Plus-10-1-oz-White-Kitchen-and-Bath-Adhesive-Caulk-18510/100634364",5.98)</f>
        <v>5.98</v>
      </c>
      <c r="F25" s="23" t="n">
        <f aca="false">C25*E25</f>
        <v>11.96</v>
      </c>
      <c r="G25" s="9"/>
    </row>
    <row r="26" customFormat="false" ht="15" hidden="false" customHeight="true" outlineLevel="0" collapsed="false">
      <c r="A26" s="9" t="s">
        <v>186</v>
      </c>
      <c r="B26" s="9" t="s">
        <v>187</v>
      </c>
      <c r="C26" s="20" t="n">
        <v>1</v>
      </c>
      <c r="D26" s="21" t="s">
        <v>56</v>
      </c>
      <c r="E26" s="22" t="n">
        <f aca="false">HYPERLINK("https://www.homedepot.com/p/Home-Decorators-Collection-Doveton-30-in-Single-Sink-Freestanding-White-Bath-Vanity-with-White-Engineered-Marble-Top-Quik-Set-DV3022-WH/326375001",549)</f>
        <v>549</v>
      </c>
      <c r="F26" s="23" t="n">
        <f aca="false">C26*E26</f>
        <v>549</v>
      </c>
      <c r="G26" s="9" t="s">
        <v>188</v>
      </c>
    </row>
    <row r="27" customFormat="false" ht="15" hidden="false" customHeight="true" outlineLevel="0" collapsed="false">
      <c r="A27" s="9" t="s">
        <v>186</v>
      </c>
      <c r="B27" s="9" t="s">
        <v>189</v>
      </c>
      <c r="C27" s="20" t="n">
        <v>1</v>
      </c>
      <c r="D27" s="21" t="s">
        <v>56</v>
      </c>
      <c r="E27" s="22" t="n">
        <f aca="false">HYPERLINK("https://www.homedepot.com/p/MOEN-Genta-Single-Handle-Single-Hole-Bathroom-Faucet-in-Brushed-Nickel-WS84760SRN/301980213",109)</f>
        <v>109</v>
      </c>
      <c r="F27" s="23" t="n">
        <f aca="false">C27*E27</f>
        <v>109</v>
      </c>
      <c r="G27" s="9"/>
    </row>
    <row r="28" customFormat="false" ht="15" hidden="false" customHeight="true" outlineLevel="0" collapsed="false">
      <c r="A28" s="9" t="s">
        <v>186</v>
      </c>
      <c r="B28" s="9" t="s">
        <v>190</v>
      </c>
      <c r="C28" s="20" t="n">
        <v>1</v>
      </c>
      <c r="D28" s="21" t="s">
        <v>56</v>
      </c>
      <c r="E28" s="22" t="n">
        <f aca="false">HYPERLINK("https://www.homedepot.com/p/Everbilt-Bathroom-Pop-Up-Drain-Assembly-in-Brushed-Nickel-20390/204608142",14.98)</f>
        <v>14.98</v>
      </c>
      <c r="F28" s="23" t="n">
        <f aca="false">C28*E28</f>
        <v>14.98</v>
      </c>
      <c r="G28" s="9"/>
    </row>
    <row r="29" customFormat="false" ht="15" hidden="false" customHeight="true" outlineLevel="0" collapsed="false">
      <c r="A29" s="9" t="s">
        <v>186</v>
      </c>
      <c r="B29" s="9" t="s">
        <v>191</v>
      </c>
      <c r="C29" s="20" t="n">
        <v>1</v>
      </c>
      <c r="D29" s="21" t="s">
        <v>56</v>
      </c>
      <c r="E29" s="22" t="n">
        <f aca="false">HYPERLINK("https://www.homedepot.com/p/Everbilt-1-1-4-in-White-Plastic-Sink-Drain-P-Trap-with-Reversible-J-Bend-C9704B/205153738",7.98)</f>
        <v>7.98</v>
      </c>
      <c r="F29" s="23" t="n">
        <f aca="false">C29*E29</f>
        <v>7.98</v>
      </c>
      <c r="G29" s="9"/>
    </row>
    <row r="30" customFormat="false" ht="15" hidden="false" customHeight="true" outlineLevel="0" collapsed="false">
      <c r="A30" s="9" t="s">
        <v>186</v>
      </c>
      <c r="B30" s="9" t="s">
        <v>192</v>
      </c>
      <c r="C30" s="20" t="n">
        <v>2</v>
      </c>
      <c r="D30" s="21" t="s">
        <v>56</v>
      </c>
      <c r="E30" s="22" t="n">
        <f aca="false">HYPERLINK("https://www.homedepot.com/p/BrassCraft-3-8-in-Comp-x-1-2-in-FIP-x-20-in-Braided-Stainless-Steel-Faucet-Connector-B1-20A-F/100464003",9.98)</f>
        <v>9.98</v>
      </c>
      <c r="F30" s="23" t="n">
        <f aca="false">C30*E30</f>
        <v>19.96</v>
      </c>
      <c r="G30" s="9"/>
    </row>
    <row r="31" customFormat="false" ht="15" hidden="false" customHeight="true" outlineLevel="0" collapsed="false">
      <c r="A31" s="9" t="s">
        <v>186</v>
      </c>
      <c r="B31" s="9" t="s">
        <v>193</v>
      </c>
      <c r="C31" s="20" t="n">
        <v>1</v>
      </c>
      <c r="D31" s="21" t="s">
        <v>56</v>
      </c>
      <c r="E31" s="22" t="n">
        <f aca="false">HYPERLINK("https://www.homedepot.com/p/Oatey-14-oz-Stain-Free-Plumbers-Putty-254873/100345636",5.97)</f>
        <v>5.97</v>
      </c>
      <c r="F31" s="23" t="n">
        <f aca="false">C31*E31</f>
        <v>5.97</v>
      </c>
      <c r="G31" s="9"/>
    </row>
    <row r="32" customFormat="false" ht="15" hidden="false" customHeight="true" outlineLevel="0" collapsed="false">
      <c r="A32" s="9" t="s">
        <v>186</v>
      </c>
      <c r="B32" s="9" t="s">
        <v>194</v>
      </c>
      <c r="C32" s="20" t="n">
        <v>1</v>
      </c>
      <c r="D32" s="21" t="s">
        <v>56</v>
      </c>
      <c r="E32" s="22" t="n">
        <f aca="false">HYPERLINK("https://www.homedepot.com/p/Home-Decorators-Collection-Medium-Rectangle-Black-Modern-Mirror-27-5-in-H-x-21-5-in-W-L7-MH-7421/316078218",89.98)</f>
        <v>89.98</v>
      </c>
      <c r="F32" s="23" t="n">
        <f aca="false">C32*E32</f>
        <v>89.98</v>
      </c>
      <c r="G32" s="9"/>
    </row>
    <row r="33" customFormat="false" ht="15" hidden="false" customHeight="true" outlineLevel="0" collapsed="false">
      <c r="A33" s="9" t="s">
        <v>139</v>
      </c>
      <c r="B33" s="9" t="s">
        <v>195</v>
      </c>
      <c r="C33" s="20" t="n">
        <v>1</v>
      </c>
      <c r="D33" s="21" t="s">
        <v>56</v>
      </c>
      <c r="E33" s="22" t="n">
        <f aca="false">HYPERLINK("https://www.homedepot.com/p/Masonite-30-in-x-80-in-Lincoln-Park-Primed-1-Panel-Solid-Core-Composite-Interior-Door-Slab-10556/205746638",208)</f>
        <v>208</v>
      </c>
      <c r="F33" s="23" t="n">
        <f aca="false">C33*E33</f>
        <v>208</v>
      </c>
      <c r="G33" s="9"/>
    </row>
    <row r="34" customFormat="false" ht="15" hidden="false" customHeight="true" outlineLevel="0" collapsed="false">
      <c r="A34" s="9" t="s">
        <v>139</v>
      </c>
      <c r="B34" s="9" t="s">
        <v>196</v>
      </c>
      <c r="C34" s="20" t="n">
        <v>1</v>
      </c>
      <c r="D34" s="21" t="s">
        <v>103</v>
      </c>
      <c r="E34" s="22" t="n">
        <f aca="false">HYPERLINK("https://www.homedepot.com/p/Alexandria-Moulding-2-3-4-in-x-6-7-8-in-x-84-in-Primed-MDF-Door-Casing-Kit-02004-93084C/309671432",42.98)</f>
        <v>42.98</v>
      </c>
      <c r="F34" s="23" t="n">
        <f aca="false">C34*E34</f>
        <v>42.98</v>
      </c>
      <c r="G34" s="9"/>
    </row>
    <row r="35" customFormat="false" ht="15" hidden="false" customHeight="true" outlineLevel="0" collapsed="false">
      <c r="A35" s="9" t="s">
        <v>139</v>
      </c>
      <c r="B35" s="9" t="s">
        <v>197</v>
      </c>
      <c r="C35" s="20" t="n">
        <v>1</v>
      </c>
      <c r="D35" s="21" t="s">
        <v>56</v>
      </c>
      <c r="E35" s="22" t="n">
        <f aca="false">HYPERLINK("https://www.homedepot.com/p/Kwikset-Juno-Satin-Nickel-Privacy-Bed-Bath-Door-Knob-730J-15-6AL-RCS/100689824",34.98)</f>
        <v>34.98</v>
      </c>
      <c r="F35" s="23" t="n">
        <f aca="false">C35*E35</f>
        <v>34.98</v>
      </c>
      <c r="G35" s="9"/>
    </row>
    <row r="36" customFormat="false" ht="15" hidden="false" customHeight="true" outlineLevel="0" collapsed="false">
      <c r="A36" s="9" t="s">
        <v>139</v>
      </c>
      <c r="B36" s="9" t="s">
        <v>198</v>
      </c>
      <c r="C36" s="20" t="n">
        <v>1</v>
      </c>
      <c r="D36" s="21" t="s">
        <v>100</v>
      </c>
      <c r="E36" s="22" t="n">
        <f aca="false">HYPERLINK("https://www.homedepot.com/p/Everbilt-3-1-2-in-Satin-Nickel-5-8-in-Radius-Security-Door-Hinges-Value-Pack-3-Pack-14810/202818897",13.47)</f>
        <v>13.47</v>
      </c>
      <c r="F36" s="23" t="n">
        <f aca="false">C36*E36</f>
        <v>13.47</v>
      </c>
      <c r="G36" s="9"/>
    </row>
    <row r="37" customFormat="false" ht="15" hidden="false" customHeight="true" outlineLevel="0" collapsed="false">
      <c r="A37" s="9" t="s">
        <v>78</v>
      </c>
      <c r="B37" s="9" t="s">
        <v>79</v>
      </c>
      <c r="C37" s="20" t="n">
        <v>4</v>
      </c>
      <c r="D37" s="21" t="s">
        <v>80</v>
      </c>
      <c r="E37" s="22" t="n">
        <f aca="false">HYPERLINK("https://www.homedepot.com/p/Woodgrain-Millwork-623-1-2-in-x-3-1-4-in-x-96-in-Primed-MDF-Baseboard-Moulding-1-Piece-8-Total-Linear-Feet-10001007/203209370",8.98)</f>
        <v>8.98</v>
      </c>
      <c r="F37" s="23" t="n">
        <f aca="false">C37*E37</f>
        <v>35.92</v>
      </c>
      <c r="G37" s="9" t="s">
        <v>199</v>
      </c>
    </row>
    <row r="38" customFormat="false" ht="15" hidden="false" customHeight="true" outlineLevel="0" collapsed="false">
      <c r="A38" s="9" t="s">
        <v>78</v>
      </c>
      <c r="B38" s="9" t="s">
        <v>82</v>
      </c>
      <c r="C38" s="20" t="n">
        <v>4</v>
      </c>
      <c r="D38" s="21" t="s">
        <v>56</v>
      </c>
      <c r="E38" s="22" t="n">
        <f aca="false">HYPERLINK("https://www.homedepot.com/p/House-of-Fara-3-4-in-x-3-1-4-in-x-3-1-4-in-MDF-Primed-Plinth-Block-8621/205426918",3.98)</f>
        <v>3.98</v>
      </c>
      <c r="F38" s="23" t="n">
        <f aca="false">C38*E38</f>
        <v>15.92</v>
      </c>
      <c r="G38" s="9"/>
    </row>
    <row r="39" customFormat="false" ht="15" hidden="false" customHeight="true" outlineLevel="0" collapsed="false">
      <c r="A39" s="9" t="s">
        <v>78</v>
      </c>
      <c r="B39" s="9" t="s">
        <v>83</v>
      </c>
      <c r="C39" s="20" t="n">
        <v>1</v>
      </c>
      <c r="D39" s="21" t="s">
        <v>72</v>
      </c>
      <c r="E39" s="22" t="n">
        <f aca="false">HYPERLINK("https://www.homedepot.com/p/Grip-Rite-2-in-18-Gauge-Brad-Nails-1000-Pack-GRF18200/202308594",7.98)</f>
        <v>7.98</v>
      </c>
      <c r="F39" s="23" t="n">
        <f aca="false">C39*E39</f>
        <v>7.98</v>
      </c>
      <c r="G39" s="9"/>
    </row>
    <row r="40" customFormat="false" ht="15" hidden="false" customHeight="true" outlineLevel="0" collapsed="false">
      <c r="A40" s="9" t="s">
        <v>78</v>
      </c>
      <c r="B40" s="9" t="s">
        <v>84</v>
      </c>
      <c r="C40" s="20" t="n">
        <v>2</v>
      </c>
      <c r="D40" s="21" t="s">
        <v>85</v>
      </c>
      <c r="E40" s="22" t="n">
        <f aca="false">HYPERLINK("https://www.homedepot.com/p/DAP-Alex-Plus-10-1-oz-White-Acrylic-Latex-Caulk-Plus-Silicone-18103/100097524",3.98)</f>
        <v>3.98</v>
      </c>
      <c r="F40" s="23" t="n">
        <f aca="false">C40*E40</f>
        <v>7.96</v>
      </c>
      <c r="G40" s="9"/>
    </row>
    <row r="41" customFormat="false" ht="15" hidden="false" customHeight="true" outlineLevel="0" collapsed="false">
      <c r="A41" s="9" t="s">
        <v>78</v>
      </c>
      <c r="B41" s="9" t="s">
        <v>86</v>
      </c>
      <c r="C41" s="20" t="n">
        <v>1</v>
      </c>
      <c r="D41" s="21" t="s">
        <v>85</v>
      </c>
      <c r="E41" s="22" t="n">
        <f aca="false">HYPERLINK("https://www.homedepot.com/p/DAP-Plastic-Wood-X-with-DryDex-5-5-oz-All-Purpose-Wood-Filler-00540/206667344",6.98)</f>
        <v>6.98</v>
      </c>
      <c r="F41" s="23" t="n">
        <f aca="false">C41*E41</f>
        <v>6.98</v>
      </c>
      <c r="G41" s="9"/>
    </row>
    <row r="42" customFormat="false" ht="15" hidden="false" customHeight="true" outlineLevel="0" collapsed="false">
      <c r="A42" s="9" t="s">
        <v>68</v>
      </c>
      <c r="B42" s="9" t="s">
        <v>200</v>
      </c>
      <c r="C42" s="20" t="n">
        <v>1</v>
      </c>
      <c r="D42" s="21" t="s">
        <v>75</v>
      </c>
      <c r="E42" s="22" t="n">
        <f aca="false">HYPERLINK("https://www.homedepot.com/p/USG-Sheetrock-Brand-4-5-Gal-All-Purpose-Pre-Mixed-Joint-Compound-380501/100321602",19.48)</f>
        <v>19.48</v>
      </c>
      <c r="F42" s="23" t="n">
        <f aca="false">C42*E42</f>
        <v>19.48</v>
      </c>
      <c r="G42" s="9"/>
    </row>
    <row r="43" customFormat="false" ht="15" hidden="false" customHeight="true" outlineLevel="0" collapsed="false">
      <c r="A43" s="9" t="s">
        <v>68</v>
      </c>
      <c r="B43" s="9" t="s">
        <v>201</v>
      </c>
      <c r="C43" s="20" t="n">
        <v>1</v>
      </c>
      <c r="D43" s="21" t="s">
        <v>75</v>
      </c>
      <c r="E43" s="22" t="n">
        <f aca="false">HYPERLINK("https://www.homedepot.com/p/USG-Sheetrock-Brand-4-5-Gal-Plus-3-Lightweight-All-Purpose-Pre-Mixed-Joint-Compound-381466/100321604",20.98)</f>
        <v>20.98</v>
      </c>
      <c r="F43" s="23" t="n">
        <f aca="false">C43*E43</f>
        <v>20.98</v>
      </c>
      <c r="G43" s="9"/>
    </row>
    <row r="44" customFormat="false" ht="15" hidden="false" customHeight="true" outlineLevel="0" collapsed="false">
      <c r="A44" s="9" t="s">
        <v>68</v>
      </c>
      <c r="B44" s="9" t="s">
        <v>202</v>
      </c>
      <c r="C44" s="20" t="n">
        <v>3</v>
      </c>
      <c r="D44" s="21" t="s">
        <v>56</v>
      </c>
      <c r="E44" s="22" t="n">
        <f aca="false">HYPERLINK("https://www.homedepot.com/p/3M-2-7-8-in-x-4-7-8-in-x-1-in-Fine-Medium-Drywall-Sanding-Sponge-9093DCNA/100353968",4.97)</f>
        <v>4.97</v>
      </c>
      <c r="F44" s="23" t="n">
        <f aca="false">C44*E44</f>
        <v>14.91</v>
      </c>
      <c r="G44" s="9"/>
    </row>
    <row r="45" customFormat="false" ht="15" hidden="false" customHeight="true" outlineLevel="0" collapsed="false">
      <c r="A45" s="9" t="s">
        <v>91</v>
      </c>
      <c r="B45" s="9" t="s">
        <v>146</v>
      </c>
      <c r="C45" s="20" t="n">
        <v>1</v>
      </c>
      <c r="D45" s="21" t="s">
        <v>60</v>
      </c>
      <c r="E45" s="22" t="n">
        <f aca="false">HYPERLINK("https://www.homedepot.com/p/Zinsser-Mold-Killing-1-Gal-White-Water-Based-Interior-Exterior-Primer-276049/202520508",28.98)</f>
        <v>28.98</v>
      </c>
      <c r="F45" s="23" t="n">
        <f aca="false">C45*E45</f>
        <v>28.98</v>
      </c>
      <c r="G45" s="9"/>
    </row>
    <row r="46" customFormat="false" ht="15" hidden="false" customHeight="true" outlineLevel="0" collapsed="false">
      <c r="A46" s="9" t="s">
        <v>91</v>
      </c>
      <c r="B46" s="9" t="s">
        <v>203</v>
      </c>
      <c r="C46" s="20" t="n">
        <v>1</v>
      </c>
      <c r="D46" s="21" t="s">
        <v>60</v>
      </c>
      <c r="E46" s="22" t="n">
        <f aca="false">HYPERLINK("https://www.homedepot.com/p/BEHR-MARQUEE-1-gal-Ultra-Pure-White-Semi-Gloss-Enamel-Interior-Paint-Primer-345001/204747524",54.98)</f>
        <v>54.98</v>
      </c>
      <c r="F46" s="23" t="n">
        <f aca="false">C46*E46</f>
        <v>54.98</v>
      </c>
      <c r="G46" s="9" t="s">
        <v>204</v>
      </c>
    </row>
    <row r="47" customFormat="false" ht="15" hidden="false" customHeight="true" outlineLevel="0" collapsed="false">
      <c r="A47" s="9" t="s">
        <v>91</v>
      </c>
      <c r="B47" s="9" t="s">
        <v>96</v>
      </c>
      <c r="C47" s="20" t="n">
        <v>1</v>
      </c>
      <c r="D47" s="21" t="s">
        <v>97</v>
      </c>
      <c r="E47" s="22" t="n">
        <f aca="false">HYPERLINK("https://www.homedepot.com/p/BEHR-MARQUEE-1-qt-Ultra-Pure-White-Semi-Gloss-Enamel-Interior-Paint-Primer-345004/204747525",23.98)</f>
        <v>23.98</v>
      </c>
      <c r="F47" s="23" t="n">
        <f aca="false">C47*E47</f>
        <v>23.98</v>
      </c>
      <c r="G47" s="9"/>
    </row>
    <row r="48" customFormat="false" ht="15" hidden="false" customHeight="true" outlineLevel="0" collapsed="false">
      <c r="A48" s="9" t="s">
        <v>91</v>
      </c>
      <c r="B48" s="9" t="s">
        <v>205</v>
      </c>
      <c r="C48" s="20" t="n">
        <v>1</v>
      </c>
      <c r="D48" s="21" t="s">
        <v>149</v>
      </c>
      <c r="E48" s="22" t="n">
        <f aca="false">HYPERLINK("https://www.homedepot.com/p/Wooster-9-in-x-3-8-in-Pro-American-Contractor-High-Density-Knit-Roller-Cover-3-Pack-0-RC660-9/205625717",11.97)</f>
        <v>11.97</v>
      </c>
      <c r="F48" s="23" t="n">
        <f aca="false">C48*E48</f>
        <v>11.97</v>
      </c>
      <c r="G48" s="9"/>
    </row>
    <row r="49" customFormat="false" ht="15" hidden="false" customHeight="true" outlineLevel="0" collapsed="false">
      <c r="A49" s="9" t="s">
        <v>106</v>
      </c>
      <c r="B49" s="9" t="s">
        <v>107</v>
      </c>
      <c r="C49" s="20" t="n">
        <v>2</v>
      </c>
      <c r="D49" s="21" t="s">
        <v>100</v>
      </c>
      <c r="E49" s="22" t="n">
        <f aca="false">HYPERLINK("https://www.homedepot.com/p/HDX-9-ft-x-12-ft-0-7-mil-Drop-Cloth-2-Pack-DCHD-07-2/202528629",6.98)</f>
        <v>6.98</v>
      </c>
      <c r="F49" s="23" t="n">
        <f aca="false">C49*E49</f>
        <v>13.96</v>
      </c>
      <c r="G49" s="9"/>
    </row>
    <row r="50" customFormat="false" ht="15" hidden="false" customHeight="true" outlineLevel="0" collapsed="false">
      <c r="A50" s="9" t="s">
        <v>106</v>
      </c>
      <c r="B50" s="9" t="s">
        <v>108</v>
      </c>
      <c r="C50" s="20" t="n">
        <v>1</v>
      </c>
      <c r="D50" s="21" t="s">
        <v>109</v>
      </c>
      <c r="E50" s="23" t="n">
        <v>125</v>
      </c>
      <c r="F50" s="23" t="n">
        <f aca="false">C50*E50</f>
        <v>125</v>
      </c>
      <c r="G50" s="9" t="s">
        <v>110</v>
      </c>
    </row>
    <row r="51" customFormat="false" ht="15" hidden="false" customHeight="true" outlineLevel="0" collapsed="false">
      <c r="A51" s="24" t="s">
        <v>111</v>
      </c>
      <c r="B51" s="24"/>
      <c r="C51" s="24"/>
      <c r="D51" s="24"/>
      <c r="E51" s="24"/>
      <c r="F51" s="24"/>
      <c r="G51" s="24"/>
    </row>
    <row r="52" customFormat="false" ht="15" hidden="false" customHeight="true" outlineLevel="0" collapsed="false">
      <c r="A52" s="25" t="s">
        <v>112</v>
      </c>
      <c r="B52" s="25" t="s">
        <v>206</v>
      </c>
      <c r="C52" s="26" t="n">
        <v>47</v>
      </c>
      <c r="D52" s="27" t="s">
        <v>45</v>
      </c>
      <c r="E52" s="28" t="n">
        <v>3.5</v>
      </c>
      <c r="F52" s="28" t="n">
        <f aca="false">C52*E52</f>
        <v>164.5</v>
      </c>
      <c r="G52" s="25" t="s">
        <v>114</v>
      </c>
    </row>
    <row r="53" customFormat="false" ht="15" hidden="false" customHeight="true" outlineLevel="0" collapsed="false">
      <c r="A53" s="25" t="s">
        <v>112</v>
      </c>
      <c r="B53" s="25" t="s">
        <v>207</v>
      </c>
      <c r="C53" s="26" t="n">
        <v>98</v>
      </c>
      <c r="D53" s="27" t="s">
        <v>45</v>
      </c>
      <c r="E53" s="28" t="n">
        <v>10</v>
      </c>
      <c r="F53" s="28" t="n">
        <f aca="false">C53*E53</f>
        <v>980</v>
      </c>
      <c r="G53" s="25" t="s">
        <v>114</v>
      </c>
    </row>
    <row r="54" customFormat="false" ht="15" hidden="false" customHeight="true" outlineLevel="0" collapsed="false">
      <c r="A54" s="25" t="s">
        <v>112</v>
      </c>
      <c r="B54" s="25" t="s">
        <v>208</v>
      </c>
      <c r="C54" s="26" t="n">
        <v>1</v>
      </c>
      <c r="D54" s="27" t="s">
        <v>56</v>
      </c>
      <c r="E54" s="28" t="n">
        <v>250</v>
      </c>
      <c r="F54" s="28" t="n">
        <f aca="false">C54*E54</f>
        <v>250</v>
      </c>
      <c r="G54" s="25" t="s">
        <v>209</v>
      </c>
    </row>
    <row r="55" customFormat="false" ht="15" hidden="false" customHeight="true" outlineLevel="0" collapsed="false">
      <c r="A55" s="25" t="s">
        <v>112</v>
      </c>
      <c r="B55" s="25" t="s">
        <v>153</v>
      </c>
      <c r="C55" s="26" t="n">
        <v>1</v>
      </c>
      <c r="D55" s="27" t="s">
        <v>56</v>
      </c>
      <c r="E55" s="28" t="n">
        <v>325</v>
      </c>
      <c r="F55" s="28" t="n">
        <f aca="false">C55*E55</f>
        <v>325</v>
      </c>
      <c r="G55" s="25" t="s">
        <v>114</v>
      </c>
    </row>
    <row r="56" customFormat="false" ht="15" hidden="false" customHeight="true" outlineLevel="0" collapsed="false">
      <c r="A56" s="25" t="s">
        <v>112</v>
      </c>
      <c r="B56" s="25" t="s">
        <v>210</v>
      </c>
      <c r="C56" s="26" t="n">
        <v>190</v>
      </c>
      <c r="D56" s="27" t="s">
        <v>45</v>
      </c>
      <c r="E56" s="28" t="n">
        <v>1.75</v>
      </c>
      <c r="F56" s="28" t="n">
        <f aca="false">C56*E56</f>
        <v>332.5</v>
      </c>
      <c r="G56" s="25" t="s">
        <v>114</v>
      </c>
    </row>
    <row r="57" customFormat="false" ht="15" hidden="false" customHeight="true" outlineLevel="0" collapsed="false">
      <c r="A57" s="25" t="s">
        <v>112</v>
      </c>
      <c r="B57" s="25" t="s">
        <v>211</v>
      </c>
      <c r="C57" s="26" t="n">
        <v>28</v>
      </c>
      <c r="D57" s="27" t="s">
        <v>50</v>
      </c>
      <c r="E57" s="28" t="n">
        <v>8.25</v>
      </c>
      <c r="F57" s="28" t="n">
        <f aca="false">C57*E57</f>
        <v>231</v>
      </c>
      <c r="G57" s="25" t="s">
        <v>114</v>
      </c>
    </row>
    <row r="58" customFormat="false" ht="15" hidden="false" customHeight="true" outlineLevel="0" collapsed="false">
      <c r="A58" s="25" t="s">
        <v>112</v>
      </c>
      <c r="B58" s="25" t="s">
        <v>156</v>
      </c>
      <c r="C58" s="26" t="n">
        <v>190</v>
      </c>
      <c r="D58" s="27" t="s">
        <v>45</v>
      </c>
      <c r="E58" s="28" t="n">
        <v>2</v>
      </c>
      <c r="F58" s="28" t="n">
        <f aca="false">C58*E58</f>
        <v>380</v>
      </c>
      <c r="G58" s="25" t="s">
        <v>114</v>
      </c>
    </row>
    <row r="59" customFormat="false" ht="15" hidden="false" customHeight="true" outlineLevel="0" collapsed="false">
      <c r="A59" s="29" t="s">
        <v>121</v>
      </c>
      <c r="B59" s="29"/>
      <c r="C59" s="29"/>
      <c r="D59" s="29"/>
      <c r="E59" s="29"/>
      <c r="F59" s="29"/>
      <c r="G59" s="29"/>
    </row>
    <row r="60" customFormat="false" ht="15" hidden="false" customHeight="true" outlineLevel="0" collapsed="false">
      <c r="A60" s="30" t="s">
        <v>122</v>
      </c>
      <c r="B60" s="30" t="s">
        <v>212</v>
      </c>
      <c r="C60" s="31" t="n">
        <v>1</v>
      </c>
      <c r="D60" s="32" t="s">
        <v>56</v>
      </c>
      <c r="E60" s="33" t="n">
        <v>800</v>
      </c>
      <c r="F60" s="33" t="n">
        <f aca="false">C60*E60</f>
        <v>800</v>
      </c>
      <c r="G60" s="30" t="s">
        <v>213</v>
      </c>
    </row>
    <row r="61" customFormat="false" ht="15" hidden="false" customHeight="true" outlineLevel="0" collapsed="false">
      <c r="A61" s="34" t="s">
        <v>128</v>
      </c>
      <c r="B61" s="34"/>
      <c r="C61" s="34"/>
      <c r="D61" s="34"/>
      <c r="E61" s="34"/>
      <c r="F61" s="35" t="n">
        <f aca="false">SUM(F9:F60)</f>
        <v>9376.6</v>
      </c>
      <c r="G61" s="36"/>
    </row>
  </sheetData>
  <mergeCells count="5">
    <mergeCell ref="A1:G1"/>
    <mergeCell ref="B5:G5"/>
    <mergeCell ref="A51:G51"/>
    <mergeCell ref="A59:G59"/>
    <mergeCell ref="A61:E6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4"/>
    <col collapsed="false" customWidth="true" hidden="false" outlineLevel="0" max="4" min="3" style="1" width="8"/>
    <col collapsed="false" customWidth="true" hidden="false" outlineLevel="0" max="5" min="5" style="1" width="12"/>
    <col collapsed="false" customWidth="true" hidden="false" outlineLevel="0" max="6" min="6" style="1" width="14"/>
    <col collapsed="false" customWidth="true" hidden="false" outlineLevel="0" max="7" min="7" style="1" width="44"/>
  </cols>
  <sheetData>
    <row r="1" customFormat="false" ht="17.25" hidden="false" customHeight="true" outlineLevel="0" collapsed="false">
      <c r="A1" s="19" t="s">
        <v>214</v>
      </c>
      <c r="B1" s="19"/>
      <c r="C1" s="19"/>
      <c r="D1" s="19"/>
      <c r="E1" s="19"/>
      <c r="F1" s="19"/>
      <c r="G1" s="19"/>
    </row>
    <row r="3" customFormat="false" ht="15" hidden="false" customHeight="true" outlineLevel="0" collapsed="false">
      <c r="A3" s="14" t="s">
        <v>31</v>
      </c>
      <c r="B3" s="16" t="s">
        <v>18</v>
      </c>
    </row>
    <row r="4" customFormat="false" ht="15" hidden="false" customHeight="true" outlineLevel="0" collapsed="false">
      <c r="A4" s="14" t="s">
        <v>32</v>
      </c>
      <c r="B4" s="16" t="s">
        <v>215</v>
      </c>
    </row>
    <row r="5" customFormat="false" ht="15" hidden="false" customHeight="true" outlineLevel="0" collapsed="false">
      <c r="A5" s="14" t="s">
        <v>34</v>
      </c>
      <c r="B5" s="4" t="s">
        <v>216</v>
      </c>
      <c r="C5" s="4"/>
      <c r="D5" s="4"/>
      <c r="E5" s="4"/>
      <c r="F5" s="4"/>
      <c r="G5" s="4"/>
    </row>
    <row r="6" customFormat="false" ht="15" hidden="false" customHeight="true" outlineLevel="0" collapsed="false">
      <c r="A6" s="14" t="s">
        <v>131</v>
      </c>
      <c r="B6" s="16" t="s">
        <v>217</v>
      </c>
    </row>
    <row r="8" customFormat="false" ht="26.25" hidden="false" customHeight="true" outlineLevel="0" collapsed="false">
      <c r="A8" s="7" t="s">
        <v>36</v>
      </c>
      <c r="B8" s="7" t="s">
        <v>37</v>
      </c>
      <c r="C8" s="7" t="s">
        <v>38</v>
      </c>
      <c r="D8" s="7" t="s">
        <v>39</v>
      </c>
      <c r="E8" s="7" t="s">
        <v>40</v>
      </c>
      <c r="F8" s="7" t="s">
        <v>41</v>
      </c>
      <c r="G8" s="7" t="s">
        <v>42</v>
      </c>
    </row>
    <row r="9" customFormat="false" ht="15" hidden="false" customHeight="true" outlineLevel="0" collapsed="false">
      <c r="A9" s="9" t="s">
        <v>43</v>
      </c>
      <c r="B9" s="9" t="s">
        <v>44</v>
      </c>
      <c r="C9" s="20" t="n">
        <v>61</v>
      </c>
      <c r="D9" s="21" t="s">
        <v>45</v>
      </c>
      <c r="E9" s="22" t="n">
        <f aca="false">HYPERLINK("https://www.homedepot.com/b/Flooring-Carpet/Lifeproof-with-Petproof-Technology/N-5yc1vZarl0Zs7d",5.49)</f>
        <v>5.49</v>
      </c>
      <c r="F9" s="23" t="n">
        <f aca="false">C9*E9</f>
        <v>334.89</v>
      </c>
      <c r="G9" s="9" t="s">
        <v>46</v>
      </c>
    </row>
    <row r="10" customFormat="false" ht="15" hidden="false" customHeight="true" outlineLevel="0" collapsed="false">
      <c r="A10" s="9" t="s">
        <v>43</v>
      </c>
      <c r="B10" s="9" t="s">
        <v>47</v>
      </c>
      <c r="C10" s="20" t="n">
        <v>61</v>
      </c>
      <c r="D10" s="21" t="s">
        <v>45</v>
      </c>
      <c r="E10" s="22" t="n">
        <f aca="false">HYPERLINK("https://www.homedepot.com/p/Lifeproof-1-2-in-Thick-Premium-Comfort-Foam-Carpet-Pad-with-Double-Sided-Waterproof-SpillSafe-Membrane-100502850-04/316061675",1.35)</f>
        <v>1.35</v>
      </c>
      <c r="F10" s="23" t="n">
        <f aca="false">C10*E10</f>
        <v>82.35</v>
      </c>
      <c r="G10" s="9" t="s">
        <v>48</v>
      </c>
    </row>
    <row r="11" customFormat="false" ht="15" hidden="false" customHeight="true" outlineLevel="0" collapsed="false">
      <c r="A11" s="9" t="s">
        <v>43</v>
      </c>
      <c r="B11" s="9" t="s">
        <v>49</v>
      </c>
      <c r="C11" s="20" t="n">
        <v>42</v>
      </c>
      <c r="D11" s="21" t="s">
        <v>50</v>
      </c>
      <c r="E11" s="22" t="n">
        <f aca="false">HYPERLINK("https://www.homedepot.com/p/M-D-Building-Products-4-ft-Carpet-Tack-Strip-50-Pack-75093/202066639",0.45)</f>
        <v>0.45</v>
      </c>
      <c r="F11" s="23" t="n">
        <f aca="false">C11*E11</f>
        <v>18.9</v>
      </c>
      <c r="G11" s="9" t="s">
        <v>51</v>
      </c>
    </row>
    <row r="12" customFormat="false" ht="15" hidden="false" customHeight="true" outlineLevel="0" collapsed="false">
      <c r="A12" s="9" t="s">
        <v>43</v>
      </c>
      <c r="B12" s="9" t="s">
        <v>52</v>
      </c>
      <c r="C12" s="20" t="n">
        <v>1</v>
      </c>
      <c r="D12" s="21" t="s">
        <v>53</v>
      </c>
      <c r="E12" s="22" t="n">
        <f aca="false">HYPERLINK("https://www.homedepot.com/p/Roberts-3-in-x-164-ft-Hot-Melt-Seam-Tape-50-325/100147104",12.98)</f>
        <v>12.98</v>
      </c>
      <c r="F12" s="23" t="n">
        <f aca="false">C12*E12</f>
        <v>12.98</v>
      </c>
      <c r="G12" s="9"/>
    </row>
    <row r="13" customFormat="false" ht="15" hidden="false" customHeight="true" outlineLevel="0" collapsed="false">
      <c r="A13" s="9" t="s">
        <v>54</v>
      </c>
      <c r="B13" s="9" t="s">
        <v>55</v>
      </c>
      <c r="C13" s="20" t="n">
        <v>2</v>
      </c>
      <c r="D13" s="21" t="s">
        <v>56</v>
      </c>
      <c r="E13" s="22" t="n">
        <f aca="false">HYPERLINK("https://www.homedepot.com/p/DAP-Concrete-and-Mortar-Filler-and-Sealant-9-8-oz-Limestone-18096/202522393",9.98)</f>
        <v>9.98</v>
      </c>
      <c r="F13" s="23" t="n">
        <f aca="false">C13*E13</f>
        <v>19.96</v>
      </c>
      <c r="G13" s="9" t="s">
        <v>57</v>
      </c>
    </row>
    <row r="14" customFormat="false" ht="15" hidden="false" customHeight="true" outlineLevel="0" collapsed="false">
      <c r="A14" s="9" t="s">
        <v>54</v>
      </c>
      <c r="B14" s="9" t="s">
        <v>58</v>
      </c>
      <c r="C14" s="20" t="n">
        <v>1</v>
      </c>
      <c r="D14" s="21" t="s">
        <v>53</v>
      </c>
      <c r="E14" s="22" t="n">
        <f aca="false">HYPERLINK("https://www.homedepot.com/p/M-D-Building-Products-3-8-in-x-20-ft-Caulk-Backer-Rod-71464/202066517",4.48)</f>
        <v>4.48</v>
      </c>
      <c r="F14" s="23" t="n">
        <f aca="false">C14*E14</f>
        <v>4.48</v>
      </c>
      <c r="G14" s="9"/>
    </row>
    <row r="15" customFormat="false" ht="15" hidden="false" customHeight="true" outlineLevel="0" collapsed="false">
      <c r="A15" s="9" t="s">
        <v>54</v>
      </c>
      <c r="B15" s="9" t="s">
        <v>59</v>
      </c>
      <c r="C15" s="20" t="n">
        <v>1</v>
      </c>
      <c r="D15" s="21" t="s">
        <v>60</v>
      </c>
      <c r="E15" s="22" t="n">
        <f aca="false">HYPERLINK("https://www.homedepot.com/p/Quikrete-1-Qt-Concrete-Bonding-Adhesive-990201/100318507",9.98)</f>
        <v>9.98</v>
      </c>
      <c r="F15" s="23" t="n">
        <f aca="false">C15*E15</f>
        <v>9.98</v>
      </c>
      <c r="G15" s="9"/>
    </row>
    <row r="16" customFormat="false" ht="15" hidden="false" customHeight="true" outlineLevel="0" collapsed="false">
      <c r="A16" s="9" t="s">
        <v>54</v>
      </c>
      <c r="B16" s="9" t="s">
        <v>61</v>
      </c>
      <c r="C16" s="20" t="n">
        <v>1</v>
      </c>
      <c r="D16" s="21" t="s">
        <v>62</v>
      </c>
      <c r="E16" s="22" t="n">
        <f aca="false">HYPERLINK("https://www.homedepot.com/p/Quikrete-10-lb-Hydraulic-Water-Stop-Cement-112611/100318494",12.48)</f>
        <v>12.48</v>
      </c>
      <c r="F16" s="23" t="n">
        <f aca="false">C16*E16</f>
        <v>12.48</v>
      </c>
      <c r="G16" s="9" t="s">
        <v>63</v>
      </c>
    </row>
    <row r="17" customFormat="false" ht="15" hidden="false" customHeight="true" outlineLevel="0" collapsed="false">
      <c r="A17" s="9" t="s">
        <v>54</v>
      </c>
      <c r="B17" s="9" t="s">
        <v>64</v>
      </c>
      <c r="C17" s="20" t="n">
        <v>3</v>
      </c>
      <c r="D17" s="21" t="s">
        <v>62</v>
      </c>
      <c r="E17" s="22" t="n">
        <f aca="false">HYPERLINK("https://www.homedepot.com/p/Henry-555-Level-Pro-40-lb-Self-Leveling-Underlayment-12165/100111942",36.97)</f>
        <v>36.97</v>
      </c>
      <c r="F17" s="23" t="n">
        <f aca="false">C17*E17</f>
        <v>110.91</v>
      </c>
      <c r="G17" s="9" t="s">
        <v>218</v>
      </c>
    </row>
    <row r="18" customFormat="false" ht="15" hidden="false" customHeight="true" outlineLevel="0" collapsed="false">
      <c r="A18" s="9" t="s">
        <v>54</v>
      </c>
      <c r="B18" s="9" t="s">
        <v>66</v>
      </c>
      <c r="C18" s="20" t="n">
        <v>1</v>
      </c>
      <c r="D18" s="21" t="s">
        <v>60</v>
      </c>
      <c r="E18" s="22" t="n">
        <f aca="false">HYPERLINK("https://www.homedepot.com/p/Henry-336-1-Gal-Floor-Primer-and-Underlayment-Additive-12195/100111940",27.98)</f>
        <v>27.98</v>
      </c>
      <c r="F18" s="23" t="n">
        <f aca="false">C18*E18</f>
        <v>27.98</v>
      </c>
      <c r="G18" s="9" t="s">
        <v>67</v>
      </c>
    </row>
    <row r="19" customFormat="false" ht="15" hidden="false" customHeight="true" outlineLevel="0" collapsed="false">
      <c r="A19" s="9" t="s">
        <v>68</v>
      </c>
      <c r="B19" s="9" t="s">
        <v>69</v>
      </c>
      <c r="C19" s="20" t="n">
        <v>4</v>
      </c>
      <c r="D19" s="21" t="s">
        <v>70</v>
      </c>
      <c r="E19" s="22" t="n">
        <f aca="false">HYPERLINK("https://www.homedepot.com/p/USG-Sheetrock-Brand-1-2-in-x-4-ft-x-8-ft-UltraLight-Drywall-14113411708/202530243",11.98)</f>
        <v>11.98</v>
      </c>
      <c r="F19" s="23" t="n">
        <f aca="false">C19*E19</f>
        <v>47.92</v>
      </c>
      <c r="G19" s="9"/>
    </row>
    <row r="20" customFormat="false" ht="15" hidden="false" customHeight="true" outlineLevel="0" collapsed="false">
      <c r="A20" s="9" t="s">
        <v>68</v>
      </c>
      <c r="B20" s="9" t="s">
        <v>71</v>
      </c>
      <c r="C20" s="20" t="n">
        <v>2</v>
      </c>
      <c r="D20" s="21" t="s">
        <v>72</v>
      </c>
      <c r="E20" s="22" t="n">
        <f aca="false">HYPERLINK("https://www.homedepot.com/p/Grip-Rite-6-x-1-1-4-in-Philips-Bugle-Head-Coarse-Thread-Sharp-Point-Drywall-Screws-1-lb-Pack-114CDWS1/100153837",8.47)</f>
        <v>8.47</v>
      </c>
      <c r="F20" s="23" t="n">
        <f aca="false">C20*E20</f>
        <v>16.94</v>
      </c>
      <c r="G20" s="9"/>
    </row>
    <row r="21" customFormat="false" ht="15" hidden="false" customHeight="true" outlineLevel="0" collapsed="false">
      <c r="A21" s="9" t="s">
        <v>68</v>
      </c>
      <c r="B21" s="9" t="s">
        <v>73</v>
      </c>
      <c r="C21" s="20" t="n">
        <v>1</v>
      </c>
      <c r="D21" s="21" t="s">
        <v>53</v>
      </c>
      <c r="E21" s="22" t="n">
        <f aca="false">HYPERLINK("https://www.homedepot.com/p/USG-Sheetrock-Brand-2-1-16-in-x-250-ft-Paper-Joint-Tape-382175/100321614",4.88)</f>
        <v>4.88</v>
      </c>
      <c r="F21" s="23" t="n">
        <f aca="false">C21*E21</f>
        <v>4.88</v>
      </c>
      <c r="G21" s="9"/>
    </row>
    <row r="22" customFormat="false" ht="15" hidden="false" customHeight="true" outlineLevel="0" collapsed="false">
      <c r="A22" s="9" t="s">
        <v>68</v>
      </c>
      <c r="B22" s="9" t="s">
        <v>74</v>
      </c>
      <c r="C22" s="20" t="n">
        <v>1</v>
      </c>
      <c r="D22" s="21" t="s">
        <v>75</v>
      </c>
      <c r="E22" s="22" t="n">
        <f aca="false">HYPERLINK("https://www.homedepot.com/p/USG-Sheetrock-Brand-4-5-Gal-All-Purpose-Pre-Mixed-Joint-Compound-380501/100321602",19.48)</f>
        <v>19.48</v>
      </c>
      <c r="F22" s="23" t="n">
        <f aca="false">C22*E22</f>
        <v>19.48</v>
      </c>
      <c r="G22" s="9"/>
    </row>
    <row r="23" customFormat="false" ht="15" hidden="false" customHeight="true" outlineLevel="0" collapsed="false">
      <c r="A23" s="9" t="s">
        <v>68</v>
      </c>
      <c r="B23" s="9" t="s">
        <v>76</v>
      </c>
      <c r="C23" s="20" t="n">
        <v>1</v>
      </c>
      <c r="D23" s="21" t="s">
        <v>75</v>
      </c>
      <c r="E23" s="22" t="n">
        <f aca="false">HYPERLINK("https://www.homedepot.com/p/USG-Sheetrock-Brand-4-5-Gal-Plus-3-Lightweight-All-Purpose-Pre-Mixed-Joint-Compound-381466/100321604",20.98)</f>
        <v>20.98</v>
      </c>
      <c r="F23" s="23" t="n">
        <f aca="false">C23*E23</f>
        <v>20.98</v>
      </c>
      <c r="G23" s="9"/>
    </row>
    <row r="24" customFormat="false" ht="15" hidden="false" customHeight="true" outlineLevel="0" collapsed="false">
      <c r="A24" s="9" t="s">
        <v>68</v>
      </c>
      <c r="B24" s="9" t="s">
        <v>77</v>
      </c>
      <c r="C24" s="20" t="n">
        <v>3</v>
      </c>
      <c r="D24" s="21" t="s">
        <v>56</v>
      </c>
      <c r="E24" s="22" t="n">
        <f aca="false">HYPERLINK("https://www.homedepot.com/p/3M-2-7-8-in-x-4-7-8-in-x-1-in-Fine-Medium-Drywall-Sanding-Sponge-9093DCNA/100353968",4.97)</f>
        <v>4.97</v>
      </c>
      <c r="F24" s="23" t="n">
        <f aca="false">C24*E24</f>
        <v>14.91</v>
      </c>
      <c r="G24" s="9"/>
    </row>
    <row r="25" customFormat="false" ht="15" hidden="false" customHeight="true" outlineLevel="0" collapsed="false">
      <c r="A25" s="9" t="s">
        <v>78</v>
      </c>
      <c r="B25" s="9" t="s">
        <v>79</v>
      </c>
      <c r="C25" s="20" t="n">
        <v>6</v>
      </c>
      <c r="D25" s="21" t="s">
        <v>80</v>
      </c>
      <c r="E25" s="22" t="n">
        <f aca="false">HYPERLINK("https://www.homedepot.com/p/Woodgrain-Millwork-623-1-2-in-x-3-1-4-in-x-96-in-Primed-MDF-Baseboard-Moulding-1-Piece-8-Total-Linear-Feet-10001007/203209370",8.98)</f>
        <v>8.98</v>
      </c>
      <c r="F25" s="23" t="n">
        <f aca="false">C25*E25</f>
        <v>53.88</v>
      </c>
      <c r="G25" s="9" t="s">
        <v>219</v>
      </c>
    </row>
    <row r="26" customFormat="false" ht="15" hidden="false" customHeight="true" outlineLevel="0" collapsed="false">
      <c r="A26" s="9" t="s">
        <v>78</v>
      </c>
      <c r="B26" s="9" t="s">
        <v>82</v>
      </c>
      <c r="C26" s="20" t="n">
        <v>6</v>
      </c>
      <c r="D26" s="21" t="s">
        <v>56</v>
      </c>
      <c r="E26" s="22" t="n">
        <f aca="false">HYPERLINK("https://www.homedepot.com/p/House-of-Fara-3-4-in-x-3-1-4-in-x-3-1-4-in-MDF-Primed-Plinth-Block-8621/205426918",3.98)</f>
        <v>3.98</v>
      </c>
      <c r="F26" s="23" t="n">
        <f aca="false">C26*E26</f>
        <v>23.88</v>
      </c>
      <c r="G26" s="9"/>
    </row>
    <row r="27" customFormat="false" ht="15" hidden="false" customHeight="true" outlineLevel="0" collapsed="false">
      <c r="A27" s="9" t="s">
        <v>78</v>
      </c>
      <c r="B27" s="9" t="s">
        <v>83</v>
      </c>
      <c r="C27" s="20" t="n">
        <v>1</v>
      </c>
      <c r="D27" s="21" t="s">
        <v>72</v>
      </c>
      <c r="E27" s="22" t="n">
        <f aca="false">HYPERLINK("https://www.homedepot.com/p/Grip-Rite-2-in-18-Gauge-Brad-Nails-1000-Pack-GRF18200/202308594",7.98)</f>
        <v>7.98</v>
      </c>
      <c r="F27" s="23" t="n">
        <f aca="false">C27*E27</f>
        <v>7.98</v>
      </c>
      <c r="G27" s="9"/>
    </row>
    <row r="28" customFormat="false" ht="15" hidden="false" customHeight="true" outlineLevel="0" collapsed="false">
      <c r="A28" s="9" t="s">
        <v>78</v>
      </c>
      <c r="B28" s="9" t="s">
        <v>84</v>
      </c>
      <c r="C28" s="20" t="n">
        <v>2</v>
      </c>
      <c r="D28" s="21" t="s">
        <v>85</v>
      </c>
      <c r="E28" s="22" t="n">
        <f aca="false">HYPERLINK("https://www.homedepot.com/p/DAP-Alex-Plus-10-1-oz-White-Acrylic-Latex-Caulk-Plus-Silicone-18103/100097524",3.98)</f>
        <v>3.98</v>
      </c>
      <c r="F28" s="23" t="n">
        <f aca="false">C28*E28</f>
        <v>7.96</v>
      </c>
      <c r="G28" s="9"/>
    </row>
    <row r="29" customFormat="false" ht="15" hidden="false" customHeight="true" outlineLevel="0" collapsed="false">
      <c r="A29" s="9" t="s">
        <v>78</v>
      </c>
      <c r="B29" s="9" t="s">
        <v>86</v>
      </c>
      <c r="C29" s="20" t="n">
        <v>1</v>
      </c>
      <c r="D29" s="21" t="s">
        <v>85</v>
      </c>
      <c r="E29" s="22" t="n">
        <f aca="false">HYPERLINK("https://www.homedepot.com/p/DAP-Plastic-Wood-X-with-DryDex-5-5-oz-All-Purpose-Wood-Filler-00540/206667344",6.98)</f>
        <v>6.98</v>
      </c>
      <c r="F29" s="23" t="n">
        <f aca="false">C29*E29</f>
        <v>6.98</v>
      </c>
      <c r="G29" s="9"/>
    </row>
    <row r="30" customFormat="false" ht="15" hidden="false" customHeight="true" outlineLevel="0" collapsed="false">
      <c r="A30" s="9" t="s">
        <v>87</v>
      </c>
      <c r="B30" s="9" t="s">
        <v>88</v>
      </c>
      <c r="C30" s="20" t="n">
        <v>3</v>
      </c>
      <c r="D30" s="21" t="s">
        <v>89</v>
      </c>
      <c r="E30" s="22" t="n">
        <f aca="false">HYPERLINK("https://www.homedepot.com/p/Homax-20-oz-Wall-Orange-Peel-Low-Odor-Water-Based-Texture-Spray-Paint-4092-06/100154309",16.98)</f>
        <v>16.98</v>
      </c>
      <c r="F30" s="23" t="n">
        <f aca="false">C30*E30</f>
        <v>50.94</v>
      </c>
      <c r="G30" s="9" t="s">
        <v>90</v>
      </c>
    </row>
    <row r="31" customFormat="false" ht="15" hidden="false" customHeight="true" outlineLevel="0" collapsed="false">
      <c r="A31" s="9" t="s">
        <v>91</v>
      </c>
      <c r="B31" s="9" t="s">
        <v>92</v>
      </c>
      <c r="C31" s="20" t="n">
        <v>1</v>
      </c>
      <c r="D31" s="21" t="s">
        <v>60</v>
      </c>
      <c r="E31" s="22" t="n">
        <f aca="false">HYPERLINK("https://www.homedepot.com/p/Zinsser-Bulls-Eye-1-2-3-1-Gal-White-Water-Based-Interior-Exterior-Primer-and-Sealer-2001/100398391",28.98)</f>
        <v>28.98</v>
      </c>
      <c r="F31" s="23" t="n">
        <f aca="false">C31*E31</f>
        <v>28.98</v>
      </c>
      <c r="G31" s="9"/>
    </row>
    <row r="32" customFormat="false" ht="15" hidden="false" customHeight="true" outlineLevel="0" collapsed="false">
      <c r="A32" s="9" t="s">
        <v>91</v>
      </c>
      <c r="B32" s="9" t="s">
        <v>94</v>
      </c>
      <c r="C32" s="20" t="n">
        <v>2</v>
      </c>
      <c r="D32" s="21" t="s">
        <v>60</v>
      </c>
      <c r="E32" s="22" t="n">
        <f aca="false">HYPERLINK("https://www.homedepot.com/p/BEHR-MARQUEE-1-gal-Ultra-Pure-White-Eggshell-Enamel-Interior-Paint-Primer-245001/204747490",54.98)</f>
        <v>54.98</v>
      </c>
      <c r="F32" s="23" t="n">
        <f aca="false">C32*E32</f>
        <v>109.96</v>
      </c>
      <c r="G32" s="9" t="s">
        <v>220</v>
      </c>
    </row>
    <row r="33" customFormat="false" ht="15" hidden="false" customHeight="true" outlineLevel="0" collapsed="false">
      <c r="A33" s="9" t="s">
        <v>91</v>
      </c>
      <c r="B33" s="9" t="s">
        <v>96</v>
      </c>
      <c r="C33" s="20" t="n">
        <v>1</v>
      </c>
      <c r="D33" s="21" t="s">
        <v>97</v>
      </c>
      <c r="E33" s="22" t="n">
        <f aca="false">HYPERLINK("https://www.homedepot.com/p/BEHR-MARQUEE-1-qt-Ultra-Pure-White-Semi-Gloss-Enamel-Interior-Paint-Primer-345004/204747525",23.98)</f>
        <v>23.98</v>
      </c>
      <c r="F33" s="23" t="n">
        <f aca="false">C33*E33</f>
        <v>23.98</v>
      </c>
      <c r="G33" s="9"/>
    </row>
    <row r="34" customFormat="false" ht="15" hidden="false" customHeight="true" outlineLevel="0" collapsed="false">
      <c r="A34" s="9" t="s">
        <v>91</v>
      </c>
      <c r="B34" s="9" t="s">
        <v>205</v>
      </c>
      <c r="C34" s="20" t="n">
        <v>1</v>
      </c>
      <c r="D34" s="21" t="s">
        <v>149</v>
      </c>
      <c r="E34" s="22" t="n">
        <f aca="false">HYPERLINK("https://www.homedepot.com/p/Wooster-9-in-x-3-8-in-Pro-American-Contractor-High-Density-Knit-Roller-Cover-3-Pack-0-RC660-9/205625717",11.97)</f>
        <v>11.97</v>
      </c>
      <c r="F34" s="23" t="n">
        <f aca="false">C34*E34</f>
        <v>11.97</v>
      </c>
      <c r="G34" s="9"/>
    </row>
    <row r="35" customFormat="false" ht="15" hidden="false" customHeight="true" outlineLevel="0" collapsed="false">
      <c r="A35" s="9" t="s">
        <v>106</v>
      </c>
      <c r="B35" s="9" t="s">
        <v>107</v>
      </c>
      <c r="C35" s="20" t="n">
        <v>1</v>
      </c>
      <c r="D35" s="21" t="s">
        <v>100</v>
      </c>
      <c r="E35" s="22" t="n">
        <f aca="false">HYPERLINK("https://www.homedepot.com/p/HDX-9-ft-x-12-ft-0-7-mil-Drop-Cloth-2-Pack-DCHD-07-2/202528629",6.98)</f>
        <v>6.98</v>
      </c>
      <c r="F35" s="23" t="n">
        <f aca="false">C35*E35</f>
        <v>6.98</v>
      </c>
      <c r="G35" s="9"/>
    </row>
    <row r="36" customFormat="false" ht="15" hidden="false" customHeight="true" outlineLevel="0" collapsed="false">
      <c r="A36" s="9" t="s">
        <v>106</v>
      </c>
      <c r="B36" s="9" t="s">
        <v>108</v>
      </c>
      <c r="C36" s="20" t="n">
        <v>1</v>
      </c>
      <c r="D36" s="21" t="s">
        <v>109</v>
      </c>
      <c r="E36" s="23" t="n">
        <v>60</v>
      </c>
      <c r="F36" s="23" t="n">
        <f aca="false">C36*E36</f>
        <v>60</v>
      </c>
      <c r="G36" s="9" t="s">
        <v>110</v>
      </c>
    </row>
    <row r="37" customFormat="false" ht="15" hidden="false" customHeight="true" outlineLevel="0" collapsed="false">
      <c r="A37" s="24" t="s">
        <v>111</v>
      </c>
      <c r="B37" s="24"/>
      <c r="C37" s="24"/>
      <c r="D37" s="24"/>
      <c r="E37" s="24"/>
      <c r="F37" s="24"/>
      <c r="G37" s="24"/>
    </row>
    <row r="38" customFormat="false" ht="15" hidden="false" customHeight="true" outlineLevel="0" collapsed="false">
      <c r="A38" s="25" t="s">
        <v>112</v>
      </c>
      <c r="B38" s="25" t="s">
        <v>113</v>
      </c>
      <c r="C38" s="26" t="n">
        <v>61</v>
      </c>
      <c r="D38" s="27" t="s">
        <v>45</v>
      </c>
      <c r="E38" s="28" t="n">
        <v>0.85</v>
      </c>
      <c r="F38" s="28" t="n">
        <f aca="false">C38*E38</f>
        <v>51.85</v>
      </c>
      <c r="G38" s="25" t="s">
        <v>114</v>
      </c>
    </row>
    <row r="39" customFormat="false" ht="15" hidden="false" customHeight="true" outlineLevel="0" collapsed="false">
      <c r="A39" s="25" t="s">
        <v>112</v>
      </c>
      <c r="B39" s="25" t="s">
        <v>221</v>
      </c>
      <c r="C39" s="26" t="n">
        <v>100</v>
      </c>
      <c r="D39" s="27" t="s">
        <v>45</v>
      </c>
      <c r="E39" s="28" t="n">
        <v>2.75</v>
      </c>
      <c r="F39" s="28" t="n">
        <f aca="false">C39*E39</f>
        <v>275</v>
      </c>
      <c r="G39" s="25" t="s">
        <v>114</v>
      </c>
    </row>
    <row r="40" customFormat="false" ht="15" hidden="false" customHeight="true" outlineLevel="0" collapsed="false">
      <c r="A40" s="25" t="s">
        <v>112</v>
      </c>
      <c r="B40" s="25" t="s">
        <v>152</v>
      </c>
      <c r="C40" s="26" t="n">
        <v>100</v>
      </c>
      <c r="D40" s="27" t="s">
        <v>45</v>
      </c>
      <c r="E40" s="28" t="n">
        <v>1.5</v>
      </c>
      <c r="F40" s="28" t="n">
        <f aca="false">C40*E40</f>
        <v>150</v>
      </c>
      <c r="G40" s="25" t="s">
        <v>114</v>
      </c>
    </row>
    <row r="41" customFormat="false" ht="15" hidden="false" customHeight="true" outlineLevel="0" collapsed="false">
      <c r="A41" s="25" t="s">
        <v>112</v>
      </c>
      <c r="B41" s="25" t="s">
        <v>211</v>
      </c>
      <c r="C41" s="26" t="n">
        <v>42</v>
      </c>
      <c r="D41" s="27" t="s">
        <v>50</v>
      </c>
      <c r="E41" s="28" t="n">
        <v>8.25</v>
      </c>
      <c r="F41" s="28" t="n">
        <f aca="false">C41*E41</f>
        <v>346.5</v>
      </c>
      <c r="G41" s="25" t="s">
        <v>114</v>
      </c>
    </row>
    <row r="42" customFormat="false" ht="15" hidden="false" customHeight="true" outlineLevel="0" collapsed="false">
      <c r="A42" s="25" t="s">
        <v>112</v>
      </c>
      <c r="B42" s="25" t="s">
        <v>222</v>
      </c>
      <c r="C42" s="26" t="n">
        <v>280</v>
      </c>
      <c r="D42" s="27" t="s">
        <v>45</v>
      </c>
      <c r="E42" s="28" t="n">
        <v>1.75</v>
      </c>
      <c r="F42" s="28" t="n">
        <f aca="false">C42*E42</f>
        <v>490</v>
      </c>
      <c r="G42" s="25" t="s">
        <v>114</v>
      </c>
    </row>
    <row r="43" customFormat="false" ht="15" hidden="false" customHeight="true" outlineLevel="0" collapsed="false">
      <c r="A43" s="29" t="s">
        <v>121</v>
      </c>
      <c r="B43" s="29"/>
      <c r="C43" s="29"/>
      <c r="D43" s="29"/>
      <c r="E43" s="29"/>
      <c r="F43" s="29"/>
      <c r="G43" s="29"/>
    </row>
    <row r="44" customFormat="false" ht="15" hidden="false" customHeight="true" outlineLevel="0" collapsed="false">
      <c r="A44" s="30" t="s">
        <v>122</v>
      </c>
      <c r="B44" s="30" t="s">
        <v>123</v>
      </c>
      <c r="C44" s="31" t="n">
        <v>61</v>
      </c>
      <c r="D44" s="32" t="s">
        <v>45</v>
      </c>
      <c r="E44" s="33" t="n">
        <v>2</v>
      </c>
      <c r="F44" s="33" t="n">
        <f aca="false">C44*E44</f>
        <v>122</v>
      </c>
      <c r="G44" s="30" t="s">
        <v>114</v>
      </c>
    </row>
    <row r="45" customFormat="false" ht="15" hidden="false" customHeight="true" outlineLevel="0" collapsed="false">
      <c r="A45" s="30" t="s">
        <v>122</v>
      </c>
      <c r="B45" s="30" t="s">
        <v>124</v>
      </c>
      <c r="C45" s="31" t="n">
        <v>15</v>
      </c>
      <c r="D45" s="32" t="s">
        <v>50</v>
      </c>
      <c r="E45" s="33" t="n">
        <v>8</v>
      </c>
      <c r="F45" s="33" t="n">
        <f aca="false">C45*E45</f>
        <v>120</v>
      </c>
      <c r="G45" s="30" t="s">
        <v>125</v>
      </c>
    </row>
    <row r="46" customFormat="false" ht="15" hidden="false" customHeight="true" outlineLevel="0" collapsed="false">
      <c r="A46" s="30" t="s">
        <v>122</v>
      </c>
      <c r="B46" s="30" t="s">
        <v>126</v>
      </c>
      <c r="C46" s="31" t="n">
        <v>61</v>
      </c>
      <c r="D46" s="32" t="s">
        <v>45</v>
      </c>
      <c r="E46" s="33" t="n">
        <v>3.5</v>
      </c>
      <c r="F46" s="33" t="n">
        <f aca="false">C46*E46</f>
        <v>213.5</v>
      </c>
      <c r="G46" s="30" t="s">
        <v>127</v>
      </c>
    </row>
    <row r="47" customFormat="false" ht="15" hidden="false" customHeight="true" outlineLevel="0" collapsed="false">
      <c r="A47" s="34" t="s">
        <v>128</v>
      </c>
      <c r="B47" s="34"/>
      <c r="C47" s="34"/>
      <c r="D47" s="34"/>
      <c r="E47" s="34"/>
      <c r="F47" s="35" t="n">
        <f aca="false">SUM(F9:F46)</f>
        <v>2922.36</v>
      </c>
      <c r="G47" s="36"/>
    </row>
  </sheetData>
  <mergeCells count="5">
    <mergeCell ref="A1:G1"/>
    <mergeCell ref="B5:G5"/>
    <mergeCell ref="A37:G37"/>
    <mergeCell ref="A43:G43"/>
    <mergeCell ref="A47:E4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4"/>
    <col collapsed="false" customWidth="true" hidden="false" outlineLevel="0" max="4" min="3" style="1" width="8"/>
    <col collapsed="false" customWidth="true" hidden="false" outlineLevel="0" max="5" min="5" style="1" width="12"/>
    <col collapsed="false" customWidth="true" hidden="false" outlineLevel="0" max="6" min="6" style="1" width="14"/>
    <col collapsed="false" customWidth="true" hidden="false" outlineLevel="0" max="7" min="7" style="1" width="44"/>
  </cols>
  <sheetData>
    <row r="1" customFormat="false" ht="17.25" hidden="false" customHeight="true" outlineLevel="0" collapsed="false">
      <c r="A1" s="19" t="s">
        <v>223</v>
      </c>
      <c r="B1" s="19"/>
      <c r="C1" s="19"/>
      <c r="D1" s="19"/>
      <c r="E1" s="19"/>
      <c r="F1" s="19"/>
      <c r="G1" s="19"/>
    </row>
    <row r="3" customFormat="false" ht="15" hidden="false" customHeight="true" outlineLevel="0" collapsed="false">
      <c r="A3" s="14" t="s">
        <v>31</v>
      </c>
      <c r="B3" s="16" t="s">
        <v>20</v>
      </c>
    </row>
    <row r="4" customFormat="false" ht="15" hidden="false" customHeight="true" outlineLevel="0" collapsed="false">
      <c r="A4" s="14" t="s">
        <v>32</v>
      </c>
      <c r="B4" s="16" t="s">
        <v>215</v>
      </c>
    </row>
    <row r="5" customFormat="false" ht="15" hidden="false" customHeight="true" outlineLevel="0" collapsed="false">
      <c r="A5" s="14" t="s">
        <v>34</v>
      </c>
      <c r="B5" s="4" t="s">
        <v>224</v>
      </c>
      <c r="C5" s="4"/>
      <c r="D5" s="4"/>
      <c r="E5" s="4"/>
      <c r="F5" s="4"/>
      <c r="G5" s="4"/>
    </row>
    <row r="6" customFormat="false" ht="15" hidden="false" customHeight="true" outlineLevel="0" collapsed="false">
      <c r="A6" s="14" t="s">
        <v>131</v>
      </c>
      <c r="B6" s="16" t="s">
        <v>225</v>
      </c>
    </row>
    <row r="8" customFormat="false" ht="26.25" hidden="false" customHeight="true" outlineLevel="0" collapsed="false">
      <c r="A8" s="7" t="s">
        <v>36</v>
      </c>
      <c r="B8" s="7" t="s">
        <v>37</v>
      </c>
      <c r="C8" s="7" t="s">
        <v>38</v>
      </c>
      <c r="D8" s="7" t="s">
        <v>39</v>
      </c>
      <c r="E8" s="7" t="s">
        <v>40</v>
      </c>
      <c r="F8" s="7" t="s">
        <v>41</v>
      </c>
      <c r="G8" s="7" t="s">
        <v>42</v>
      </c>
    </row>
    <row r="9" customFormat="false" ht="15" hidden="false" customHeight="true" outlineLevel="0" collapsed="false">
      <c r="A9" s="9" t="s">
        <v>43</v>
      </c>
      <c r="B9" s="9" t="s">
        <v>44</v>
      </c>
      <c r="C9" s="20" t="n">
        <v>61</v>
      </c>
      <c r="D9" s="21" t="s">
        <v>45</v>
      </c>
      <c r="E9" s="22" t="n">
        <f aca="false">HYPERLINK("https://www.homedepot.com/b/Flooring-Carpet/Lifeproof-with-Petproof-Technology/N-5yc1vZarl0Zs7d",5.49)</f>
        <v>5.49</v>
      </c>
      <c r="F9" s="23" t="n">
        <f aca="false">C9*E9</f>
        <v>334.89</v>
      </c>
      <c r="G9" s="9" t="s">
        <v>46</v>
      </c>
    </row>
    <row r="10" customFormat="false" ht="15" hidden="false" customHeight="true" outlineLevel="0" collapsed="false">
      <c r="A10" s="9" t="s">
        <v>43</v>
      </c>
      <c r="B10" s="9" t="s">
        <v>47</v>
      </c>
      <c r="C10" s="20" t="n">
        <v>61</v>
      </c>
      <c r="D10" s="21" t="s">
        <v>45</v>
      </c>
      <c r="E10" s="22" t="n">
        <f aca="false">HYPERLINK("https://www.homedepot.com/p/Lifeproof-1-2-in-Thick-Premium-Comfort-Foam-Carpet-Pad-with-Double-Sided-Waterproof-SpillSafe-Membrane-100502850-04/316061675",1.35)</f>
        <v>1.35</v>
      </c>
      <c r="F10" s="23" t="n">
        <f aca="false">C10*E10</f>
        <v>82.35</v>
      </c>
      <c r="G10" s="9" t="s">
        <v>48</v>
      </c>
    </row>
    <row r="11" customFormat="false" ht="15" hidden="false" customHeight="true" outlineLevel="0" collapsed="false">
      <c r="A11" s="9" t="s">
        <v>43</v>
      </c>
      <c r="B11" s="9" t="s">
        <v>49</v>
      </c>
      <c r="C11" s="20" t="n">
        <v>42</v>
      </c>
      <c r="D11" s="21" t="s">
        <v>50</v>
      </c>
      <c r="E11" s="22" t="n">
        <f aca="false">HYPERLINK("https://www.homedepot.com/p/M-D-Building-Products-4-ft-Carpet-Tack-Strip-50-Pack-75093/202066639",0.45)</f>
        <v>0.45</v>
      </c>
      <c r="F11" s="23" t="n">
        <f aca="false">C11*E11</f>
        <v>18.9</v>
      </c>
      <c r="G11" s="9" t="s">
        <v>51</v>
      </c>
    </row>
    <row r="12" customFormat="false" ht="15" hidden="false" customHeight="true" outlineLevel="0" collapsed="false">
      <c r="A12" s="9" t="s">
        <v>43</v>
      </c>
      <c r="B12" s="9" t="s">
        <v>52</v>
      </c>
      <c r="C12" s="20" t="n">
        <v>1</v>
      </c>
      <c r="D12" s="21" t="s">
        <v>53</v>
      </c>
      <c r="E12" s="22" t="n">
        <f aca="false">HYPERLINK("https://www.homedepot.com/p/Roberts-3-in-x-164-ft-Hot-Melt-Seam-Tape-50-325/100147104",12.98)</f>
        <v>12.98</v>
      </c>
      <c r="F12" s="23" t="n">
        <f aca="false">C12*E12</f>
        <v>12.98</v>
      </c>
      <c r="G12" s="9"/>
    </row>
    <row r="13" customFormat="false" ht="15" hidden="false" customHeight="true" outlineLevel="0" collapsed="false">
      <c r="A13" s="9" t="s">
        <v>54</v>
      </c>
      <c r="B13" s="9" t="s">
        <v>55</v>
      </c>
      <c r="C13" s="20" t="n">
        <v>2</v>
      </c>
      <c r="D13" s="21" t="s">
        <v>56</v>
      </c>
      <c r="E13" s="22" t="n">
        <f aca="false">HYPERLINK("https://www.homedepot.com/p/DAP-Concrete-and-Mortar-Filler-and-Sealant-9-8-oz-Limestone-18096/202522393",9.98)</f>
        <v>9.98</v>
      </c>
      <c r="F13" s="23" t="n">
        <f aca="false">C13*E13</f>
        <v>19.96</v>
      </c>
      <c r="G13" s="9" t="s">
        <v>57</v>
      </c>
    </row>
    <row r="14" customFormat="false" ht="15" hidden="false" customHeight="true" outlineLevel="0" collapsed="false">
      <c r="A14" s="9" t="s">
        <v>54</v>
      </c>
      <c r="B14" s="9" t="s">
        <v>58</v>
      </c>
      <c r="C14" s="20" t="n">
        <v>1</v>
      </c>
      <c r="D14" s="21" t="s">
        <v>53</v>
      </c>
      <c r="E14" s="22" t="n">
        <f aca="false">HYPERLINK("https://www.homedepot.com/p/M-D-Building-Products-3-8-in-x-20-ft-Caulk-Backer-Rod-71464/202066517",4.48)</f>
        <v>4.48</v>
      </c>
      <c r="F14" s="23" t="n">
        <f aca="false">C14*E14</f>
        <v>4.48</v>
      </c>
      <c r="G14" s="9"/>
    </row>
    <row r="15" customFormat="false" ht="15" hidden="false" customHeight="true" outlineLevel="0" collapsed="false">
      <c r="A15" s="9" t="s">
        <v>54</v>
      </c>
      <c r="B15" s="9" t="s">
        <v>59</v>
      </c>
      <c r="C15" s="20" t="n">
        <v>1</v>
      </c>
      <c r="D15" s="21" t="s">
        <v>60</v>
      </c>
      <c r="E15" s="22" t="n">
        <f aca="false">HYPERLINK("https://www.homedepot.com/p/Quikrete-1-Qt-Concrete-Bonding-Adhesive-990201/100318507",9.98)</f>
        <v>9.98</v>
      </c>
      <c r="F15" s="23" t="n">
        <f aca="false">C15*E15</f>
        <v>9.98</v>
      </c>
      <c r="G15" s="9"/>
    </row>
    <row r="16" customFormat="false" ht="15" hidden="false" customHeight="true" outlineLevel="0" collapsed="false">
      <c r="A16" s="9" t="s">
        <v>54</v>
      </c>
      <c r="B16" s="9" t="s">
        <v>61</v>
      </c>
      <c r="C16" s="20" t="n">
        <v>1</v>
      </c>
      <c r="D16" s="21" t="s">
        <v>62</v>
      </c>
      <c r="E16" s="22" t="n">
        <f aca="false">HYPERLINK("https://www.homedepot.com/p/Quikrete-10-lb-Hydraulic-Water-Stop-Cement-112611/100318494",12.48)</f>
        <v>12.48</v>
      </c>
      <c r="F16" s="23" t="n">
        <f aca="false">C16*E16</f>
        <v>12.48</v>
      </c>
      <c r="G16" s="9" t="s">
        <v>63</v>
      </c>
    </row>
    <row r="17" customFormat="false" ht="15" hidden="false" customHeight="true" outlineLevel="0" collapsed="false">
      <c r="A17" s="9" t="s">
        <v>54</v>
      </c>
      <c r="B17" s="9" t="s">
        <v>64</v>
      </c>
      <c r="C17" s="20" t="n">
        <v>3</v>
      </c>
      <c r="D17" s="21" t="s">
        <v>62</v>
      </c>
      <c r="E17" s="22" t="n">
        <f aca="false">HYPERLINK("https://www.homedepot.com/p/Henry-555-Level-Pro-40-lb-Self-Leveling-Underlayment-12165/100111942",36.97)</f>
        <v>36.97</v>
      </c>
      <c r="F17" s="23" t="n">
        <f aca="false">C17*E17</f>
        <v>110.91</v>
      </c>
      <c r="G17" s="9" t="s">
        <v>218</v>
      </c>
    </row>
    <row r="18" customFormat="false" ht="15" hidden="false" customHeight="true" outlineLevel="0" collapsed="false">
      <c r="A18" s="9" t="s">
        <v>54</v>
      </c>
      <c r="B18" s="9" t="s">
        <v>66</v>
      </c>
      <c r="C18" s="20" t="n">
        <v>1</v>
      </c>
      <c r="D18" s="21" t="s">
        <v>60</v>
      </c>
      <c r="E18" s="22" t="n">
        <f aca="false">HYPERLINK("https://www.homedepot.com/p/Henry-336-1-Gal-Floor-Primer-and-Underlayment-Additive-12195/100111940",27.98)</f>
        <v>27.98</v>
      </c>
      <c r="F18" s="23" t="n">
        <f aca="false">C18*E18</f>
        <v>27.98</v>
      </c>
      <c r="G18" s="9" t="s">
        <v>67</v>
      </c>
    </row>
    <row r="19" customFormat="false" ht="15" hidden="false" customHeight="true" outlineLevel="0" collapsed="false">
      <c r="A19" s="9" t="s">
        <v>68</v>
      </c>
      <c r="B19" s="9" t="s">
        <v>69</v>
      </c>
      <c r="C19" s="20" t="n">
        <v>4</v>
      </c>
      <c r="D19" s="21" t="s">
        <v>70</v>
      </c>
      <c r="E19" s="22" t="n">
        <f aca="false">HYPERLINK("https://www.homedepot.com/p/USG-Sheetrock-Brand-1-2-in-x-4-ft-x-8-ft-UltraLight-Drywall-14113411708/202530243",11.98)</f>
        <v>11.98</v>
      </c>
      <c r="F19" s="23" t="n">
        <f aca="false">C19*E19</f>
        <v>47.92</v>
      </c>
      <c r="G19" s="9"/>
    </row>
    <row r="20" customFormat="false" ht="15" hidden="false" customHeight="true" outlineLevel="0" collapsed="false">
      <c r="A20" s="9" t="s">
        <v>68</v>
      </c>
      <c r="B20" s="9" t="s">
        <v>71</v>
      </c>
      <c r="C20" s="20" t="n">
        <v>2</v>
      </c>
      <c r="D20" s="21" t="s">
        <v>72</v>
      </c>
      <c r="E20" s="22" t="n">
        <f aca="false">HYPERLINK("https://www.homedepot.com/p/Grip-Rite-6-x-1-1-4-in-Philips-Bugle-Head-Coarse-Thread-Sharp-Point-Drywall-Screws-1-lb-Pack-114CDWS1/100153837",8.47)</f>
        <v>8.47</v>
      </c>
      <c r="F20" s="23" t="n">
        <f aca="false">C20*E20</f>
        <v>16.94</v>
      </c>
      <c r="G20" s="9"/>
    </row>
    <row r="21" customFormat="false" ht="15" hidden="false" customHeight="true" outlineLevel="0" collapsed="false">
      <c r="A21" s="9" t="s">
        <v>68</v>
      </c>
      <c r="B21" s="9" t="s">
        <v>73</v>
      </c>
      <c r="C21" s="20" t="n">
        <v>1</v>
      </c>
      <c r="D21" s="21" t="s">
        <v>53</v>
      </c>
      <c r="E21" s="22" t="n">
        <f aca="false">HYPERLINK("https://www.homedepot.com/p/USG-Sheetrock-Brand-2-1-16-in-x-250-ft-Paper-Joint-Tape-382175/100321614",4.88)</f>
        <v>4.88</v>
      </c>
      <c r="F21" s="23" t="n">
        <f aca="false">C21*E21</f>
        <v>4.88</v>
      </c>
      <c r="G21" s="9"/>
    </row>
    <row r="22" customFormat="false" ht="15" hidden="false" customHeight="true" outlineLevel="0" collapsed="false">
      <c r="A22" s="9" t="s">
        <v>68</v>
      </c>
      <c r="B22" s="9" t="s">
        <v>74</v>
      </c>
      <c r="C22" s="20" t="n">
        <v>1</v>
      </c>
      <c r="D22" s="21" t="s">
        <v>75</v>
      </c>
      <c r="E22" s="22" t="n">
        <f aca="false">HYPERLINK("https://www.homedepot.com/p/USG-Sheetrock-Brand-4-5-Gal-All-Purpose-Pre-Mixed-Joint-Compound-380501/100321602",19.48)</f>
        <v>19.48</v>
      </c>
      <c r="F22" s="23" t="n">
        <f aca="false">C22*E22</f>
        <v>19.48</v>
      </c>
      <c r="G22" s="9"/>
    </row>
    <row r="23" customFormat="false" ht="15" hidden="false" customHeight="true" outlineLevel="0" collapsed="false">
      <c r="A23" s="9" t="s">
        <v>68</v>
      </c>
      <c r="B23" s="9" t="s">
        <v>76</v>
      </c>
      <c r="C23" s="20" t="n">
        <v>1</v>
      </c>
      <c r="D23" s="21" t="s">
        <v>75</v>
      </c>
      <c r="E23" s="22" t="n">
        <f aca="false">HYPERLINK("https://www.homedepot.com/p/USG-Sheetrock-Brand-4-5-Gal-Plus-3-Lightweight-All-Purpose-Pre-Mixed-Joint-Compound-381466/100321604",20.98)</f>
        <v>20.98</v>
      </c>
      <c r="F23" s="23" t="n">
        <f aca="false">C23*E23</f>
        <v>20.98</v>
      </c>
      <c r="G23" s="9"/>
    </row>
    <row r="24" customFormat="false" ht="15" hidden="false" customHeight="true" outlineLevel="0" collapsed="false">
      <c r="A24" s="9" t="s">
        <v>68</v>
      </c>
      <c r="B24" s="9" t="s">
        <v>77</v>
      </c>
      <c r="C24" s="20" t="n">
        <v>3</v>
      </c>
      <c r="D24" s="21" t="s">
        <v>56</v>
      </c>
      <c r="E24" s="22" t="n">
        <f aca="false">HYPERLINK("https://www.homedepot.com/p/3M-2-7-8-in-x-4-7-8-in-x-1-in-Fine-Medium-Drywall-Sanding-Sponge-9093DCNA/100353968",4.97)</f>
        <v>4.97</v>
      </c>
      <c r="F24" s="23" t="n">
        <f aca="false">C24*E24</f>
        <v>14.91</v>
      </c>
      <c r="G24" s="9"/>
    </row>
    <row r="25" customFormat="false" ht="15" hidden="false" customHeight="true" outlineLevel="0" collapsed="false">
      <c r="A25" s="9" t="s">
        <v>226</v>
      </c>
      <c r="B25" s="9" t="s">
        <v>227</v>
      </c>
      <c r="C25" s="20" t="n">
        <v>4</v>
      </c>
      <c r="D25" s="21" t="s">
        <v>70</v>
      </c>
      <c r="E25" s="22" t="n">
        <f aca="false">HYPERLINK("https://www.homedepot.com/p/1-4-in-x-48-in-x-96-in-DPI-Pinetex-White-Wainscot-Panel-173/100029362",34.98)</f>
        <v>34.98</v>
      </c>
      <c r="F25" s="23" t="n">
        <f aca="false">C25*E25</f>
        <v>139.92</v>
      </c>
      <c r="G25" s="9"/>
    </row>
    <row r="26" customFormat="false" ht="15" hidden="false" customHeight="true" outlineLevel="0" collapsed="false">
      <c r="A26" s="9" t="s">
        <v>226</v>
      </c>
      <c r="B26" s="9" t="s">
        <v>228</v>
      </c>
      <c r="C26" s="20" t="n">
        <v>3</v>
      </c>
      <c r="D26" s="21" t="s">
        <v>85</v>
      </c>
      <c r="E26" s="22" t="n">
        <f aca="false">HYPERLINK("https://www.homedepot.com/p/Loctite-Power-Grab-Express-9-fl-oz-All-Purpose-Construction-Adhesive-2029846/206736498",7.98)</f>
        <v>7.98</v>
      </c>
      <c r="F26" s="23" t="n">
        <f aca="false">C26*E26</f>
        <v>23.94</v>
      </c>
      <c r="G26" s="9"/>
    </row>
    <row r="27" customFormat="false" ht="15" hidden="false" customHeight="true" outlineLevel="0" collapsed="false">
      <c r="A27" s="9" t="s">
        <v>226</v>
      </c>
      <c r="B27" s="9" t="s">
        <v>229</v>
      </c>
      <c r="C27" s="20" t="n">
        <v>4</v>
      </c>
      <c r="D27" s="21" t="s">
        <v>80</v>
      </c>
      <c r="E27" s="22" t="n">
        <f aca="false">HYPERLINK("https://www.homedepot.com/p/Woodgrain-Millwork-WM-135-3-32-in-x-1-5-8-in-x-84-in-Primed-Finger-Jointed-Batten-Moulding-10001854/206082010",4.98)</f>
        <v>4.98</v>
      </c>
      <c r="F27" s="23" t="n">
        <f aca="false">C27*E27</f>
        <v>19.92</v>
      </c>
      <c r="G27" s="9"/>
    </row>
    <row r="28" customFormat="false" ht="15" hidden="false" customHeight="true" outlineLevel="0" collapsed="false">
      <c r="A28" s="9" t="s">
        <v>226</v>
      </c>
      <c r="B28" s="9" t="s">
        <v>230</v>
      </c>
      <c r="C28" s="20" t="n">
        <v>1</v>
      </c>
      <c r="D28" s="21" t="s">
        <v>72</v>
      </c>
      <c r="E28" s="22" t="n">
        <f aca="false">HYPERLINK("https://www.homedepot.com/p/Grip-Rite-1-in-Panel-Board-Nails-1-lb-Pack-1PNBR1/100120289",6.98)</f>
        <v>6.98</v>
      </c>
      <c r="F28" s="23" t="n">
        <f aca="false">C28*E28</f>
        <v>6.98</v>
      </c>
      <c r="G28" s="9"/>
    </row>
    <row r="29" customFormat="false" ht="15" hidden="false" customHeight="true" outlineLevel="0" collapsed="false">
      <c r="A29" s="9" t="s">
        <v>78</v>
      </c>
      <c r="B29" s="9" t="s">
        <v>79</v>
      </c>
      <c r="C29" s="20" t="n">
        <v>6</v>
      </c>
      <c r="D29" s="21" t="s">
        <v>80</v>
      </c>
      <c r="E29" s="22" t="n">
        <f aca="false">HYPERLINK("https://www.homedepot.com/p/Woodgrain-Millwork-623-1-2-in-x-3-1-4-in-x-96-in-Primed-MDF-Baseboard-Moulding-1-Piece-8-Total-Linear-Feet-10001007/203209370",8.98)</f>
        <v>8.98</v>
      </c>
      <c r="F29" s="23" t="n">
        <f aca="false">C29*E29</f>
        <v>53.88</v>
      </c>
      <c r="G29" s="9" t="s">
        <v>219</v>
      </c>
    </row>
    <row r="30" customFormat="false" ht="15" hidden="false" customHeight="true" outlineLevel="0" collapsed="false">
      <c r="A30" s="9" t="s">
        <v>78</v>
      </c>
      <c r="B30" s="9" t="s">
        <v>82</v>
      </c>
      <c r="C30" s="20" t="n">
        <v>6</v>
      </c>
      <c r="D30" s="21" t="s">
        <v>56</v>
      </c>
      <c r="E30" s="22" t="n">
        <f aca="false">HYPERLINK("https://www.homedepot.com/p/House-of-Fara-3-4-in-x-3-1-4-in-x-3-1-4-in-MDF-Primed-Plinth-Block-8621/205426918",3.98)</f>
        <v>3.98</v>
      </c>
      <c r="F30" s="23" t="n">
        <f aca="false">C30*E30</f>
        <v>23.88</v>
      </c>
      <c r="G30" s="9"/>
    </row>
    <row r="31" customFormat="false" ht="15" hidden="false" customHeight="true" outlineLevel="0" collapsed="false">
      <c r="A31" s="9" t="s">
        <v>78</v>
      </c>
      <c r="B31" s="9" t="s">
        <v>83</v>
      </c>
      <c r="C31" s="20" t="n">
        <v>1</v>
      </c>
      <c r="D31" s="21" t="s">
        <v>72</v>
      </c>
      <c r="E31" s="22" t="n">
        <f aca="false">HYPERLINK("https://www.homedepot.com/p/Grip-Rite-2-in-18-Gauge-Brad-Nails-1000-Pack-GRF18200/202308594",7.98)</f>
        <v>7.98</v>
      </c>
      <c r="F31" s="23" t="n">
        <f aca="false">C31*E31</f>
        <v>7.98</v>
      </c>
      <c r="G31" s="9"/>
    </row>
    <row r="32" customFormat="false" ht="15" hidden="false" customHeight="true" outlineLevel="0" collapsed="false">
      <c r="A32" s="9" t="s">
        <v>78</v>
      </c>
      <c r="B32" s="9" t="s">
        <v>84</v>
      </c>
      <c r="C32" s="20" t="n">
        <v>2</v>
      </c>
      <c r="D32" s="21" t="s">
        <v>85</v>
      </c>
      <c r="E32" s="22" t="n">
        <f aca="false">HYPERLINK("https://www.homedepot.com/p/DAP-Alex-Plus-10-1-oz-White-Acrylic-Latex-Caulk-Plus-Silicone-18103/100097524",3.98)</f>
        <v>3.98</v>
      </c>
      <c r="F32" s="23" t="n">
        <f aca="false">C32*E32</f>
        <v>7.96</v>
      </c>
      <c r="G32" s="9"/>
    </row>
    <row r="33" customFormat="false" ht="15" hidden="false" customHeight="true" outlineLevel="0" collapsed="false">
      <c r="A33" s="9" t="s">
        <v>78</v>
      </c>
      <c r="B33" s="9" t="s">
        <v>86</v>
      </c>
      <c r="C33" s="20" t="n">
        <v>1</v>
      </c>
      <c r="D33" s="21" t="s">
        <v>85</v>
      </c>
      <c r="E33" s="22" t="n">
        <f aca="false">HYPERLINK("https://www.homedepot.com/p/DAP-Plastic-Wood-X-with-DryDex-5-5-oz-All-Purpose-Wood-Filler-00540/206667344",6.98)</f>
        <v>6.98</v>
      </c>
      <c r="F33" s="23" t="n">
        <f aca="false">C33*E33</f>
        <v>6.98</v>
      </c>
      <c r="G33" s="9"/>
    </row>
    <row r="34" customFormat="false" ht="15" hidden="false" customHeight="true" outlineLevel="0" collapsed="false">
      <c r="A34" s="9" t="s">
        <v>87</v>
      </c>
      <c r="B34" s="9" t="s">
        <v>88</v>
      </c>
      <c r="C34" s="20" t="n">
        <v>3</v>
      </c>
      <c r="D34" s="21" t="s">
        <v>89</v>
      </c>
      <c r="E34" s="22" t="n">
        <f aca="false">HYPERLINK("https://www.homedepot.com/p/Homax-20-oz-Wall-Orange-Peel-Low-Odor-Water-Based-Texture-Spray-Paint-4092-06/100154309",16.98)</f>
        <v>16.98</v>
      </c>
      <c r="F34" s="23" t="n">
        <f aca="false">C34*E34</f>
        <v>50.94</v>
      </c>
      <c r="G34" s="9" t="s">
        <v>90</v>
      </c>
    </row>
    <row r="35" customFormat="false" ht="15" hidden="false" customHeight="true" outlineLevel="0" collapsed="false">
      <c r="A35" s="9" t="s">
        <v>91</v>
      </c>
      <c r="B35" s="9" t="s">
        <v>92</v>
      </c>
      <c r="C35" s="20" t="n">
        <v>1</v>
      </c>
      <c r="D35" s="21" t="s">
        <v>60</v>
      </c>
      <c r="E35" s="22" t="n">
        <f aca="false">HYPERLINK("https://www.homedepot.com/p/Zinsser-Bulls-Eye-1-2-3-1-Gal-White-Water-Based-Interior-Exterior-Primer-and-Sealer-2001/100398391",28.98)</f>
        <v>28.98</v>
      </c>
      <c r="F35" s="23" t="n">
        <f aca="false">C35*E35</f>
        <v>28.98</v>
      </c>
      <c r="G35" s="9"/>
    </row>
    <row r="36" customFormat="false" ht="15" hidden="false" customHeight="true" outlineLevel="0" collapsed="false">
      <c r="A36" s="9" t="s">
        <v>91</v>
      </c>
      <c r="B36" s="9" t="s">
        <v>94</v>
      </c>
      <c r="C36" s="20" t="n">
        <v>2</v>
      </c>
      <c r="D36" s="21" t="s">
        <v>60</v>
      </c>
      <c r="E36" s="22" t="n">
        <f aca="false">HYPERLINK("https://www.homedepot.com/p/BEHR-MARQUEE-1-gal-Ultra-Pure-White-Eggshell-Enamel-Interior-Paint-Primer-245001/204747490",54.98)</f>
        <v>54.98</v>
      </c>
      <c r="F36" s="23" t="n">
        <f aca="false">C36*E36</f>
        <v>109.96</v>
      </c>
      <c r="G36" s="9"/>
    </row>
    <row r="37" customFormat="false" ht="15" hidden="false" customHeight="true" outlineLevel="0" collapsed="false">
      <c r="A37" s="9" t="s">
        <v>91</v>
      </c>
      <c r="B37" s="9" t="s">
        <v>96</v>
      </c>
      <c r="C37" s="20" t="n">
        <v>1</v>
      </c>
      <c r="D37" s="21" t="s">
        <v>97</v>
      </c>
      <c r="E37" s="22" t="n">
        <f aca="false">HYPERLINK("https://www.homedepot.com/p/BEHR-MARQUEE-1-qt-Ultra-Pure-White-Semi-Gloss-Enamel-Interior-Paint-Primer-345004/204747525",23.98)</f>
        <v>23.98</v>
      </c>
      <c r="F37" s="23" t="n">
        <f aca="false">C37*E37</f>
        <v>23.98</v>
      </c>
      <c r="G37" s="9"/>
    </row>
    <row r="38" customFormat="false" ht="15" hidden="false" customHeight="true" outlineLevel="0" collapsed="false">
      <c r="A38" s="9" t="s">
        <v>91</v>
      </c>
      <c r="B38" s="9" t="s">
        <v>231</v>
      </c>
      <c r="C38" s="20" t="n">
        <v>1</v>
      </c>
      <c r="D38" s="21" t="s">
        <v>149</v>
      </c>
      <c r="E38" s="22" t="n">
        <f aca="false">HYPERLINK("https://www.homedepot.com/p/Wooster-9-in-x-3-8-in-Pro-American-Contractor-High-Density-Knit-Roller-Cover-3-Pack-0-RC660-9/205625717",11.97)</f>
        <v>11.97</v>
      </c>
      <c r="F38" s="23" t="n">
        <f aca="false">C38*E38</f>
        <v>11.97</v>
      </c>
      <c r="G38" s="9"/>
    </row>
    <row r="39" customFormat="false" ht="15" hidden="false" customHeight="true" outlineLevel="0" collapsed="false">
      <c r="A39" s="9" t="s">
        <v>106</v>
      </c>
      <c r="B39" s="9" t="s">
        <v>107</v>
      </c>
      <c r="C39" s="20" t="n">
        <v>1</v>
      </c>
      <c r="D39" s="21" t="s">
        <v>100</v>
      </c>
      <c r="E39" s="22" t="n">
        <f aca="false">HYPERLINK("https://www.homedepot.com/p/HDX-9-ft-x-12-ft-0-7-mil-Drop-Cloth-2-Pack-DCHD-07-2/202528629",6.98)</f>
        <v>6.98</v>
      </c>
      <c r="F39" s="23" t="n">
        <f aca="false">C39*E39</f>
        <v>6.98</v>
      </c>
      <c r="G39" s="9"/>
    </row>
    <row r="40" customFormat="false" ht="15" hidden="false" customHeight="true" outlineLevel="0" collapsed="false">
      <c r="A40" s="9" t="s">
        <v>106</v>
      </c>
      <c r="B40" s="9" t="s">
        <v>108</v>
      </c>
      <c r="C40" s="20" t="n">
        <v>1</v>
      </c>
      <c r="D40" s="21" t="s">
        <v>109</v>
      </c>
      <c r="E40" s="23" t="n">
        <v>60</v>
      </c>
      <c r="F40" s="23" t="n">
        <f aca="false">C40*E40</f>
        <v>60</v>
      </c>
      <c r="G40" s="9" t="s">
        <v>110</v>
      </c>
    </row>
    <row r="41" customFormat="false" ht="15" hidden="false" customHeight="true" outlineLevel="0" collapsed="false">
      <c r="A41" s="24" t="s">
        <v>111</v>
      </c>
      <c r="B41" s="24"/>
      <c r="C41" s="24"/>
      <c r="D41" s="24"/>
      <c r="E41" s="24"/>
      <c r="F41" s="24"/>
      <c r="G41" s="24"/>
    </row>
    <row r="42" customFormat="false" ht="15" hidden="false" customHeight="true" outlineLevel="0" collapsed="false">
      <c r="A42" s="25" t="s">
        <v>112</v>
      </c>
      <c r="B42" s="25" t="s">
        <v>113</v>
      </c>
      <c r="C42" s="26" t="n">
        <v>61</v>
      </c>
      <c r="D42" s="27" t="s">
        <v>45</v>
      </c>
      <c r="E42" s="28" t="n">
        <v>0.85</v>
      </c>
      <c r="F42" s="28" t="n">
        <f aca="false">C42*E42</f>
        <v>51.85</v>
      </c>
      <c r="G42" s="25" t="s">
        <v>114</v>
      </c>
    </row>
    <row r="43" customFormat="false" ht="15" hidden="false" customHeight="true" outlineLevel="0" collapsed="false">
      <c r="A43" s="25" t="s">
        <v>112</v>
      </c>
      <c r="B43" s="25" t="s">
        <v>221</v>
      </c>
      <c r="C43" s="26" t="n">
        <v>100</v>
      </c>
      <c r="D43" s="27" t="s">
        <v>45</v>
      </c>
      <c r="E43" s="28" t="n">
        <v>2.75</v>
      </c>
      <c r="F43" s="28" t="n">
        <f aca="false">C43*E43</f>
        <v>275</v>
      </c>
      <c r="G43" s="25" t="s">
        <v>114</v>
      </c>
    </row>
    <row r="44" customFormat="false" ht="15" hidden="false" customHeight="true" outlineLevel="0" collapsed="false">
      <c r="A44" s="25" t="s">
        <v>112</v>
      </c>
      <c r="B44" s="25" t="s">
        <v>232</v>
      </c>
      <c r="C44" s="26" t="n">
        <v>128</v>
      </c>
      <c r="D44" s="27" t="s">
        <v>45</v>
      </c>
      <c r="E44" s="28" t="n">
        <v>2.25</v>
      </c>
      <c r="F44" s="28" t="n">
        <f aca="false">C44*E44</f>
        <v>288</v>
      </c>
      <c r="G44" s="25" t="s">
        <v>114</v>
      </c>
    </row>
    <row r="45" customFormat="false" ht="15" hidden="false" customHeight="true" outlineLevel="0" collapsed="false">
      <c r="A45" s="25" t="s">
        <v>112</v>
      </c>
      <c r="B45" s="25" t="s">
        <v>152</v>
      </c>
      <c r="C45" s="26" t="n">
        <v>100</v>
      </c>
      <c r="D45" s="27" t="s">
        <v>45</v>
      </c>
      <c r="E45" s="28" t="n">
        <v>1.5</v>
      </c>
      <c r="F45" s="28" t="n">
        <f aca="false">C45*E45</f>
        <v>150</v>
      </c>
      <c r="G45" s="25" t="s">
        <v>114</v>
      </c>
    </row>
    <row r="46" customFormat="false" ht="15" hidden="false" customHeight="true" outlineLevel="0" collapsed="false">
      <c r="A46" s="25" t="s">
        <v>112</v>
      </c>
      <c r="B46" s="25" t="s">
        <v>211</v>
      </c>
      <c r="C46" s="26" t="n">
        <v>42</v>
      </c>
      <c r="D46" s="27" t="s">
        <v>50</v>
      </c>
      <c r="E46" s="28" t="n">
        <v>8.25</v>
      </c>
      <c r="F46" s="28" t="n">
        <f aca="false">C46*E46</f>
        <v>346.5</v>
      </c>
      <c r="G46" s="25" t="s">
        <v>114</v>
      </c>
    </row>
    <row r="47" customFormat="false" ht="15" hidden="false" customHeight="true" outlineLevel="0" collapsed="false">
      <c r="A47" s="25" t="s">
        <v>112</v>
      </c>
      <c r="B47" s="25" t="s">
        <v>222</v>
      </c>
      <c r="C47" s="26" t="n">
        <v>280</v>
      </c>
      <c r="D47" s="27" t="s">
        <v>45</v>
      </c>
      <c r="E47" s="28" t="n">
        <v>1.75</v>
      </c>
      <c r="F47" s="28" t="n">
        <f aca="false">C47*E47</f>
        <v>490</v>
      </c>
      <c r="G47" s="25" t="s">
        <v>114</v>
      </c>
    </row>
    <row r="48" customFormat="false" ht="15" hidden="false" customHeight="true" outlineLevel="0" collapsed="false">
      <c r="A48" s="29" t="s">
        <v>121</v>
      </c>
      <c r="B48" s="29"/>
      <c r="C48" s="29"/>
      <c r="D48" s="29"/>
      <c r="E48" s="29"/>
      <c r="F48" s="29"/>
      <c r="G48" s="29"/>
    </row>
    <row r="49" customFormat="false" ht="15" hidden="false" customHeight="true" outlineLevel="0" collapsed="false">
      <c r="A49" s="30" t="s">
        <v>122</v>
      </c>
      <c r="B49" s="30" t="s">
        <v>123</v>
      </c>
      <c r="C49" s="31" t="n">
        <v>61</v>
      </c>
      <c r="D49" s="32" t="s">
        <v>45</v>
      </c>
      <c r="E49" s="33" t="n">
        <v>2</v>
      </c>
      <c r="F49" s="33" t="n">
        <f aca="false">C49*E49</f>
        <v>122</v>
      </c>
      <c r="G49" s="30" t="s">
        <v>114</v>
      </c>
    </row>
    <row r="50" customFormat="false" ht="15" hidden="false" customHeight="true" outlineLevel="0" collapsed="false">
      <c r="A50" s="30" t="s">
        <v>122</v>
      </c>
      <c r="B50" s="30" t="s">
        <v>124</v>
      </c>
      <c r="C50" s="31" t="n">
        <v>15</v>
      </c>
      <c r="D50" s="32" t="s">
        <v>50</v>
      </c>
      <c r="E50" s="33" t="n">
        <v>8</v>
      </c>
      <c r="F50" s="33" t="n">
        <f aca="false">C50*E50</f>
        <v>120</v>
      </c>
      <c r="G50" s="30" t="s">
        <v>125</v>
      </c>
    </row>
    <row r="51" customFormat="false" ht="15" hidden="false" customHeight="true" outlineLevel="0" collapsed="false">
      <c r="A51" s="30" t="s">
        <v>122</v>
      </c>
      <c r="B51" s="30" t="s">
        <v>126</v>
      </c>
      <c r="C51" s="31" t="n">
        <v>61</v>
      </c>
      <c r="D51" s="32" t="s">
        <v>45</v>
      </c>
      <c r="E51" s="33" t="n">
        <v>3.5</v>
      </c>
      <c r="F51" s="33" t="n">
        <f aca="false">C51*E51</f>
        <v>213.5</v>
      </c>
      <c r="G51" s="30" t="s">
        <v>127</v>
      </c>
    </row>
    <row r="52" customFormat="false" ht="15" hidden="false" customHeight="true" outlineLevel="0" collapsed="false">
      <c r="A52" s="34" t="s">
        <v>128</v>
      </c>
      <c r="B52" s="34"/>
      <c r="C52" s="34"/>
      <c r="D52" s="34"/>
      <c r="E52" s="34"/>
      <c r="F52" s="35" t="n">
        <f aca="false">SUM(F9:F51)</f>
        <v>3401.12</v>
      </c>
      <c r="G52" s="36"/>
    </row>
  </sheetData>
  <mergeCells count="5">
    <mergeCell ref="A1:G1"/>
    <mergeCell ref="B5:G5"/>
    <mergeCell ref="A41:G41"/>
    <mergeCell ref="A48:G48"/>
    <mergeCell ref="A52:E5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5"/>
    <col collapsed="false" customWidth="true" hidden="false" outlineLevel="0" max="3" min="3" style="1" width="60"/>
    <col collapsed="false" customWidth="true" hidden="false" outlineLevel="0" max="4" min="4" style="1" width="15"/>
  </cols>
  <sheetData>
    <row r="1" customFormat="false" ht="17.25" hidden="false" customHeight="true" outlineLevel="0" collapsed="false">
      <c r="A1" s="37" t="s">
        <v>233</v>
      </c>
      <c r="B1" s="37"/>
      <c r="C1" s="37"/>
      <c r="D1" s="37"/>
    </row>
    <row r="3" customFormat="false" ht="23.25" hidden="false" customHeight="true" outlineLevel="0" collapsed="false">
      <c r="A3" s="4" t="s">
        <v>234</v>
      </c>
      <c r="B3" s="4"/>
      <c r="C3" s="4"/>
      <c r="D3" s="4"/>
    </row>
    <row r="5" customFormat="false" ht="15" hidden="false" customHeight="true" outlineLevel="0" collapsed="false">
      <c r="A5" s="38" t="s">
        <v>235</v>
      </c>
      <c r="B5" s="38" t="s">
        <v>236</v>
      </c>
      <c r="C5" s="38" t="s">
        <v>237</v>
      </c>
      <c r="D5" s="38" t="s">
        <v>238</v>
      </c>
    </row>
    <row r="6" customFormat="false" ht="15" hidden="false" customHeight="true" outlineLevel="0" collapsed="false">
      <c r="A6" s="9" t="s">
        <v>239</v>
      </c>
      <c r="B6" s="9" t="s">
        <v>240</v>
      </c>
      <c r="C6" s="39" t="str">
        <f aca="false">HYPERLINK("https://homeguide.com/costs/carpet-installation-cost","HomeGuide - Carpet Installation Cost Guide")</f>
        <v>HomeGuide - Carpet Installation Cost Guide</v>
      </c>
      <c r="D6" s="9" t="s">
        <v>241</v>
      </c>
    </row>
    <row r="7" customFormat="false" ht="15" hidden="false" customHeight="true" outlineLevel="0" collapsed="false">
      <c r="A7" s="9" t="s">
        <v>242</v>
      </c>
      <c r="B7" s="9" t="s">
        <v>243</v>
      </c>
      <c r="C7" s="39" t="str">
        <f aca="false">HYPERLINK("https://homeguide.com/costs/carpet-installation-cost","HomeGuide - Carpet Installation Cost (2026)")</f>
        <v>HomeGuide - Carpet Installation Cost (2026)</v>
      </c>
      <c r="D7" s="9" t="s">
        <v>241</v>
      </c>
    </row>
    <row r="8" customFormat="false" ht="15" hidden="false" customHeight="true" outlineLevel="0" collapsed="false">
      <c r="A8" s="9" t="s">
        <v>244</v>
      </c>
      <c r="B8" s="9" t="s">
        <v>245</v>
      </c>
      <c r="C8" s="39" t="str">
        <f aca="false">HYPERLINK("https://homeguide.com/costs/sheetrock-drywall-prices","HomeGuide - Drywall Prices Chart (2026)")</f>
        <v>HomeGuide - Drywall Prices Chart (2026)</v>
      </c>
      <c r="D8" s="9" t="s">
        <v>241</v>
      </c>
    </row>
    <row r="9" customFormat="false" ht="15" hidden="false" customHeight="true" outlineLevel="0" collapsed="false">
      <c r="A9" s="9" t="s">
        <v>152</v>
      </c>
      <c r="B9" s="9" t="s">
        <v>246</v>
      </c>
      <c r="C9" s="39" t="str">
        <f aca="false">HYPERLINK("https://homeguide.com/costs/sheetrock-drywall-prices","HomeGuide - Drywall Prices Chart (2026)")</f>
        <v>HomeGuide - Drywall Prices Chart (2026)</v>
      </c>
      <c r="D9" s="9" t="s">
        <v>241</v>
      </c>
    </row>
    <row r="10" customFormat="false" ht="15" hidden="false" customHeight="true" outlineLevel="0" collapsed="false">
      <c r="A10" s="9" t="s">
        <v>247</v>
      </c>
      <c r="B10" s="9" t="s">
        <v>248</v>
      </c>
      <c r="C10" s="39" t="str">
        <f aca="false">HYPERLINK("https://www.angi.com/articles/how-much-does-it-cost-replace-baseboards.htm","Angi - Baseboard Installation Cost (2026)")</f>
        <v>Angi - Baseboard Installation Cost (2026)</v>
      </c>
      <c r="D10" s="9" t="s">
        <v>241</v>
      </c>
    </row>
    <row r="11" customFormat="false" ht="15" hidden="false" customHeight="true" outlineLevel="0" collapsed="false">
      <c r="A11" s="9" t="s">
        <v>249</v>
      </c>
      <c r="B11" s="9" t="s">
        <v>250</v>
      </c>
      <c r="C11" s="39" t="str">
        <f aca="false">HYPERLINK("https://homeguide.com/costs/baseboard-installation-cost","HomeGuide - Baseboard Installation Cost (2026)")</f>
        <v>HomeGuide - Baseboard Installation Cost (2026)</v>
      </c>
      <c r="D11" s="9" t="s">
        <v>241</v>
      </c>
    </row>
    <row r="12" customFormat="false" ht="15" hidden="false" customHeight="true" outlineLevel="0" collapsed="false">
      <c r="A12" s="9" t="s">
        <v>251</v>
      </c>
      <c r="B12" s="9" t="s">
        <v>252</v>
      </c>
      <c r="C12" s="39" t="str">
        <f aca="false">HYPERLINK("https://homeguide.com/costs/interior-painting-cost","HomeGuide - Interior Painting Cost")</f>
        <v>HomeGuide - Interior Painting Cost</v>
      </c>
      <c r="D12" s="9" t="s">
        <v>241</v>
      </c>
    </row>
    <row r="13" customFormat="false" ht="15" hidden="false" customHeight="true" outlineLevel="0" collapsed="false">
      <c r="A13" s="9" t="s">
        <v>150</v>
      </c>
      <c r="B13" s="9" t="s">
        <v>253</v>
      </c>
      <c r="C13" s="39" t="str">
        <f aca="false">HYPERLINK("https://homeguide.com/costs/vinyl-flooring-installation-cost","HomeGuide - Vinyl Flooring Installation Cost")</f>
        <v>HomeGuide - Vinyl Flooring Installation Cost</v>
      </c>
      <c r="D13" s="9" t="s">
        <v>241</v>
      </c>
    </row>
    <row r="14" customFormat="false" ht="15" hidden="false" customHeight="true" outlineLevel="0" collapsed="false">
      <c r="A14" s="9" t="s">
        <v>206</v>
      </c>
      <c r="B14" s="9" t="s">
        <v>254</v>
      </c>
      <c r="C14" s="39" t="str">
        <f aca="false">HYPERLINK("https://homeguide.com/costs/vinyl-flooring-installation-cost","HomeGuide - Vinyl Flooring Installation Cost")</f>
        <v>HomeGuide - Vinyl Flooring Installation Cost</v>
      </c>
      <c r="D14" s="9" t="s">
        <v>241</v>
      </c>
    </row>
    <row r="15" customFormat="false" ht="15" hidden="false" customHeight="true" outlineLevel="0" collapsed="false">
      <c r="A15" s="9" t="s">
        <v>153</v>
      </c>
      <c r="B15" s="9" t="s">
        <v>255</v>
      </c>
      <c r="C15" s="39" t="str">
        <f aca="false">HYPERLINK("https://www.angi.com/articles/how-much-does-installing-trim-cost.htm","Angi - Trim Installation Cost (2026)")</f>
        <v>Angi - Trim Installation Cost (2026)</v>
      </c>
      <c r="D15" s="9" t="s">
        <v>241</v>
      </c>
    </row>
    <row r="16" customFormat="false" ht="15" hidden="false" customHeight="true" outlineLevel="0" collapsed="false">
      <c r="A16" s="9" t="s">
        <v>256</v>
      </c>
      <c r="B16" s="9" t="s">
        <v>257</v>
      </c>
      <c r="C16" s="39" t="str">
        <f aca="false">HYPERLINK("https://homeguide.com/costs/tile-installation-cost","HomeGuide - Tile Installation Cost (2026)")</f>
        <v>HomeGuide - Tile Installation Cost (2026)</v>
      </c>
      <c r="D16" s="9" t="s">
        <v>241</v>
      </c>
    </row>
    <row r="17" customFormat="false" ht="15" hidden="false" customHeight="true" outlineLevel="0" collapsed="false">
      <c r="A17" s="9" t="s">
        <v>208</v>
      </c>
      <c r="B17" s="9" t="s">
        <v>258</v>
      </c>
      <c r="C17" s="39" t="str">
        <f aca="false">HYPERLINK("https://www.angi.com/articles/how-much-does-vanity-installation-cost.htm","Angi - Vanity Installation Cost")</f>
        <v>Angi - Vanity Installation Cost</v>
      </c>
      <c r="D17" s="9" t="s">
        <v>241</v>
      </c>
    </row>
    <row r="18" customFormat="false" ht="15" hidden="false" customHeight="true" outlineLevel="0" collapsed="false">
      <c r="A18" s="9" t="s">
        <v>259</v>
      </c>
      <c r="B18" s="9" t="s">
        <v>260</v>
      </c>
      <c r="C18" s="39" t="str">
        <f aca="false">HYPERLINK("https://homeguide.com/costs/sheetrock-drywall-prices","HomeGuide - Drywall Prices Chart")</f>
        <v>HomeGuide - Drywall Prices Chart</v>
      </c>
      <c r="D18" s="9" t="s">
        <v>241</v>
      </c>
    </row>
    <row r="19" customFormat="false" ht="15" hidden="false" customHeight="true" outlineLevel="0" collapsed="false">
      <c r="A19" s="9" t="s">
        <v>232</v>
      </c>
      <c r="B19" s="9" t="s">
        <v>261</v>
      </c>
      <c r="C19" s="39" t="str">
        <f aca="false">HYPERLINK("https://homeguide.com/costs/paneling-installation-cost","HomeGuide - Paneling Installation Cost")</f>
        <v>HomeGuide - Paneling Installation Cost</v>
      </c>
      <c r="D19" s="9" t="s">
        <v>241</v>
      </c>
    </row>
    <row r="20" customFormat="false" ht="15" hidden="false" customHeight="true" outlineLevel="0" collapsed="false">
      <c r="A20" s="9" t="s">
        <v>124</v>
      </c>
      <c r="B20" s="9" t="s">
        <v>262</v>
      </c>
      <c r="C20" s="39" t="str">
        <f aca="false">HYPERLINK("https://www.homewyse.com/maintenance_costs/cost_to_repair_cracked_concrete.html","Homewyse - Concrete Crack Repair (2026)")</f>
        <v>Homewyse - Concrete Crack Repair (2026)</v>
      </c>
      <c r="D20" s="9" t="s">
        <v>241</v>
      </c>
    </row>
    <row r="21" customFormat="false" ht="15" hidden="false" customHeight="true" outlineLevel="0" collapsed="false">
      <c r="A21" s="9" t="s">
        <v>263</v>
      </c>
      <c r="B21" s="9" t="s">
        <v>254</v>
      </c>
      <c r="C21" s="39" t="str">
        <f aca="false">HYPERLINK("https://homeguide.com/costs/concrete-leveling-cost","HomeGuide - Concrete Leveling Cost (2026)")</f>
        <v>HomeGuide - Concrete Leveling Cost (2026)</v>
      </c>
      <c r="D21" s="9" t="s">
        <v>241</v>
      </c>
    </row>
    <row r="22" customFormat="false" ht="15" hidden="false" customHeight="true" outlineLevel="0" collapsed="false">
      <c r="A22" s="9" t="s">
        <v>212</v>
      </c>
      <c r="B22" s="9" t="s">
        <v>264</v>
      </c>
      <c r="C22" s="39" t="str">
        <f aca="false">HYPERLINK("https://dreamline.com/shower-kits/dreamstone","DreamLine DreamStone - manufacturer site")</f>
        <v>DreamLine DreamStone - manufacturer site</v>
      </c>
      <c r="D22" s="9" t="s">
        <v>241</v>
      </c>
    </row>
    <row r="24" customFormat="false" ht="45" hidden="false" customHeight="true" outlineLevel="0" collapsed="false">
      <c r="A24" s="40" t="s">
        <v>265</v>
      </c>
      <c r="B24" s="40"/>
      <c r="C24" s="40"/>
      <c r="D24" s="40"/>
    </row>
  </sheetData>
  <mergeCells count="3">
    <mergeCell ref="A1:D1"/>
    <mergeCell ref="A3:D3"/>
    <mergeCell ref="A24:D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2026-04-08T17:02:46Z</dcterms:created>
  <dc:creator>openpyxl</dc:creator>
  <dc:description/>
  <dc:language>en-US</dc:language>
  <cp:lastModifiedBy/>
  <dcterms:modified xsi:type="dcterms:W3CDTF">2026-04-08T17:47:58Z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