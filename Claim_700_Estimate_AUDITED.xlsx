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Summary" sheetId="1" state="visible" r:id="rId1"/>
    <sheet name="Office" sheetId="2" state="visible" r:id="rId2"/>
    <sheet name="Laundry Room" sheetId="3" state="visible" r:id="rId3"/>
    <sheet name="Downstairs Bathroom" sheetId="4" state="visible" r:id="rId4"/>
    <sheet name="Hallway" sheetId="5" state="visible" r:id="rId5"/>
    <sheet name="Family Room" sheetId="6" state="visible" r:id="rId6"/>
    <sheet name="Pricing Sources" sheetId="7" state="visible" r:id="rId7"/>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
    <numFmt numFmtId="165" formatCode="0.0"/>
  </numFmts>
  <fonts count="17">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6"/>
    </font>
    <font>
      <name val="Arial"/>
      <charset val="1"/>
      <family val="0"/>
      <b val="1"/>
      <sz val="10"/>
    </font>
    <font>
      <name val="Arial"/>
      <charset val="1"/>
      <family val="0"/>
      <sz val="10"/>
    </font>
    <font>
      <name val="Arial"/>
      <charset val="1"/>
      <family val="0"/>
      <i val="1"/>
      <color rgb="FFC00000"/>
      <sz val="10"/>
    </font>
    <font>
      <name val="Arial"/>
      <charset val="1"/>
      <family val="0"/>
      <i val="1"/>
      <color rgb="FF1F4E79"/>
      <sz val="10"/>
    </font>
    <font>
      <name val="Arial"/>
      <charset val="1"/>
      <family val="0"/>
      <b val="1"/>
      <color rgb="FFFFFFFF"/>
      <sz val="11"/>
    </font>
    <font>
      <name val="Arial"/>
      <charset val="1"/>
      <family val="0"/>
      <b val="1"/>
      <color rgb="FF1F4E79"/>
      <sz val="13"/>
    </font>
    <font>
      <name val="Arial"/>
      <charset val="1"/>
      <family val="0"/>
      <b val="1"/>
      <sz val="13"/>
    </font>
    <font>
      <name val="Arial"/>
      <charset val="1"/>
      <family val="0"/>
      <color rgb="FF0563C1"/>
      <sz val="10"/>
      <u val="single"/>
    </font>
    <font>
      <name val="Arial"/>
      <charset val="1"/>
      <family val="0"/>
      <b val="1"/>
      <color rgb="FFFFFFFF"/>
      <sz val="14"/>
    </font>
    <font>
      <name val="Arial"/>
      <charset val="1"/>
      <family val="0"/>
      <b val="1"/>
      <sz val="11"/>
    </font>
    <font>
      <name val="Arial"/>
      <charset val="1"/>
      <family val="0"/>
      <b val="1"/>
      <color rgb="FF1F4E79"/>
      <sz val="14"/>
    </font>
    <font>
      <name val="Arial"/>
      <charset val="1"/>
      <family val="0"/>
      <i val="1"/>
      <sz val="10"/>
    </font>
  </fonts>
  <fills count="8">
    <fill>
      <patternFill/>
    </fill>
    <fill>
      <patternFill patternType="gray125"/>
    </fill>
    <fill>
      <patternFill patternType="solid">
        <fgColor rgb="FF1F4E79"/>
        <bgColor rgb="FF003366"/>
      </patternFill>
    </fill>
    <fill>
      <patternFill patternType="solid">
        <fgColor rgb="FFC6EFCE"/>
        <bgColor rgb="FFE2EFDA"/>
      </patternFill>
    </fill>
    <fill>
      <patternFill patternType="solid">
        <fgColor rgb="FFFFF2CC"/>
        <bgColor rgb="FFE2EFDA"/>
      </patternFill>
    </fill>
    <fill>
      <patternFill patternType="solid">
        <fgColor rgb="FFD6E4F0"/>
        <bgColor rgb="FFE2EFDA"/>
      </patternFill>
    </fill>
    <fill>
      <patternFill patternType="solid">
        <fgColor rgb="FF2E75B6"/>
        <bgColor rgb="FF0563C1"/>
      </patternFill>
    </fill>
    <fill>
      <patternFill patternType="solid">
        <fgColor rgb="FFE2EFDA"/>
        <bgColor rgb="FFD6E4F0"/>
      </patternFill>
    </fill>
  </fills>
  <borders count="9">
    <border>
      <left/>
      <right/>
      <top/>
      <bottom/>
      <diagonal/>
    </border>
    <border>
      <left style="thin"/>
      <right style="thin"/>
      <top style="thin"/>
      <bottom style="thin"/>
      <diagonal/>
    </border>
    <border>
      <left style="thin"/>
      <right style="thin"/>
      <top style="thin"/>
      <bottom style="medium"/>
      <diagonal/>
    </border>
    <border>
      <left/>
      <right/>
      <top style="thin"/>
      <bottom/>
      <diagonal/>
    </border>
    <border>
      <left/>
      <right style="thin"/>
      <top style="thin"/>
      <bottom/>
      <diagonal/>
    </border>
    <border>
      <left/>
      <right/>
      <top style="thin"/>
      <bottom style="medium"/>
      <diagonal/>
    </border>
    <border>
      <left/>
      <right style="thin"/>
      <top style="thin"/>
      <bottom style="mediu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9" fillId="2" borderId="1" applyAlignment="1" pivotButton="0" quotePrefix="0" xfId="0">
      <alignment horizontal="center" vertical="bottom"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bottom" wrapText="1"/>
    </xf>
    <xf numFmtId="164" fontId="5" fillId="0" borderId="1" applyAlignment="1" pivotButton="0" quotePrefix="0" xfId="0">
      <alignment horizontal="general" vertical="bottom"/>
    </xf>
    <xf numFmtId="0" fontId="10" fillId="3" borderId="2" applyAlignment="1" pivotButton="0" quotePrefix="0" xfId="0">
      <alignment horizontal="right" vertical="bottom"/>
    </xf>
    <xf numFmtId="164" fontId="11" fillId="3" borderId="2" applyAlignment="1" pivotButton="0" quotePrefix="0" xfId="0">
      <alignment horizontal="general" vertical="bottom"/>
    </xf>
    <xf numFmtId="0" fontId="5" fillId="0" borderId="0" applyAlignment="1" pivotButton="0" quotePrefix="0" xfId="0">
      <alignment horizontal="general" vertical="bottom"/>
    </xf>
    <xf numFmtId="0" fontId="0" fillId="4" borderId="0" applyAlignment="1" pivotButton="0" quotePrefix="0" xfId="0">
      <alignment horizontal="general" vertical="bottom"/>
    </xf>
    <xf numFmtId="0" fontId="6" fillId="0" borderId="0" applyAlignment="1" pivotButton="0" quotePrefix="0" xfId="0">
      <alignment horizontal="general" vertical="bottom"/>
    </xf>
    <xf numFmtId="0" fontId="0" fillId="5" borderId="0" applyAlignment="1" pivotButton="0" quotePrefix="0" xfId="0">
      <alignment horizontal="general" vertical="bottom"/>
    </xf>
    <xf numFmtId="0" fontId="12" fillId="0" borderId="0" applyAlignment="1" pivotButton="0" quotePrefix="0" xfId="0">
      <alignment horizontal="general" vertical="bottom"/>
    </xf>
    <xf numFmtId="0" fontId="13" fillId="6" borderId="0" applyAlignment="1" pivotButton="0" quotePrefix="0" xfId="0">
      <alignment horizontal="center" vertical="bottom"/>
    </xf>
    <xf numFmtId="165" fontId="6" fillId="0" borderId="1" applyAlignment="1" pivotButton="0" quotePrefix="0" xfId="0">
      <alignment horizontal="center" vertical="bottom"/>
    </xf>
    <xf numFmtId="0" fontId="6" fillId="0" borderId="1" applyAlignment="1" pivotButton="0" quotePrefix="0" xfId="0">
      <alignment horizontal="center" vertical="bottom"/>
    </xf>
    <xf numFmtId="164" fontId="12" fillId="0" borderId="1" applyAlignment="1" pivotButton="0" quotePrefix="0" xfId="0">
      <alignment horizontal="general" vertical="bottom"/>
    </xf>
    <xf numFmtId="164" fontId="6" fillId="0" borderId="1" applyAlignment="1" pivotButton="0" quotePrefix="0" xfId="0">
      <alignment horizontal="general" vertical="bottom"/>
    </xf>
    <xf numFmtId="0" fontId="5" fillId="4" borderId="1" applyAlignment="1" pivotButton="0" quotePrefix="0" xfId="0">
      <alignment horizontal="left" vertical="bottom"/>
    </xf>
    <xf numFmtId="0" fontId="6" fillId="4" borderId="1" applyAlignment="1" pivotButton="0" quotePrefix="0" xfId="0">
      <alignment horizontal="general" vertical="bottom"/>
    </xf>
    <xf numFmtId="165" fontId="6" fillId="4" borderId="1" applyAlignment="1" pivotButton="0" quotePrefix="0" xfId="0">
      <alignment horizontal="center" vertical="bottom"/>
    </xf>
    <xf numFmtId="0" fontId="6" fillId="4" borderId="1" applyAlignment="1" pivotButton="0" quotePrefix="0" xfId="0">
      <alignment horizontal="center" vertical="bottom"/>
    </xf>
    <xf numFmtId="164" fontId="6" fillId="4" borderId="1" applyAlignment="1" pivotButton="0" quotePrefix="0" xfId="0">
      <alignment horizontal="general" vertical="bottom"/>
    </xf>
    <xf numFmtId="0" fontId="5" fillId="5" borderId="1" applyAlignment="1" pivotButton="0" quotePrefix="0" xfId="0">
      <alignment horizontal="left" vertical="bottom"/>
    </xf>
    <xf numFmtId="0" fontId="6" fillId="5" borderId="1" applyAlignment="1" pivotButton="0" quotePrefix="0" xfId="0">
      <alignment horizontal="general" vertical="bottom"/>
    </xf>
    <xf numFmtId="165" fontId="6" fillId="5" borderId="1" applyAlignment="1" pivotButton="0" quotePrefix="0" xfId="0">
      <alignment horizontal="center" vertical="bottom"/>
    </xf>
    <xf numFmtId="0" fontId="6" fillId="5" borderId="1" applyAlignment="1" pivotButton="0" quotePrefix="0" xfId="0">
      <alignment horizontal="center" vertical="bottom"/>
    </xf>
    <xf numFmtId="164" fontId="6" fillId="5" borderId="1" applyAlignment="1" pivotButton="0" quotePrefix="0" xfId="0">
      <alignment horizontal="general" vertical="bottom"/>
    </xf>
    <xf numFmtId="0" fontId="14" fillId="7" borderId="2" applyAlignment="1" pivotButton="0" quotePrefix="0" xfId="0">
      <alignment horizontal="right" vertical="bottom"/>
    </xf>
    <xf numFmtId="164" fontId="14" fillId="7" borderId="2" applyAlignment="1" pivotButton="0" quotePrefix="0" xfId="0">
      <alignment horizontal="general" vertical="bottom"/>
    </xf>
    <xf numFmtId="0" fontId="14" fillId="7" borderId="2" applyAlignment="1" pivotButton="0" quotePrefix="0" xfId="0">
      <alignment horizontal="general" vertical="bottom"/>
    </xf>
    <xf numFmtId="0" fontId="15" fillId="0" borderId="0" applyAlignment="1" pivotButton="0" quotePrefix="0" xfId="0">
      <alignment horizontal="center" vertical="bottom"/>
    </xf>
    <xf numFmtId="0" fontId="9" fillId="2" borderId="1" applyAlignment="1" pivotButton="0" quotePrefix="0" xfId="0">
      <alignment horizontal="general" vertical="bottom"/>
    </xf>
    <xf numFmtId="0" fontId="12" fillId="0" borderId="1" applyAlignment="1" pivotButton="0" quotePrefix="0" xfId="0">
      <alignment horizontal="general" vertical="bottom"/>
    </xf>
    <xf numFmtId="0" fontId="16"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wrapText="1"/>
    </xf>
    <xf numFmtId="0" fontId="7" fillId="0" borderId="0" applyAlignment="1" pivotButton="0" quotePrefix="0" xfId="0">
      <alignment horizontal="general" vertical="bottom"/>
    </xf>
    <xf numFmtId="0" fontId="8" fillId="0" borderId="0" applyAlignment="1" pivotButton="0" quotePrefix="0" xfId="0">
      <alignment horizontal="general" vertical="bottom" wrapText="1"/>
    </xf>
    <xf numFmtId="0" fontId="9" fillId="2" borderId="1" applyAlignment="1" pivotButton="0" quotePrefix="0" xfId="0">
      <alignment horizontal="center" vertical="bottom" wrapText="1"/>
    </xf>
    <xf numFmtId="0" fontId="5" fillId="0" borderId="1" applyAlignment="1" pivotButton="0" quotePrefix="0" xfId="0">
      <alignment horizontal="general" vertical="bottom"/>
    </xf>
    <xf numFmtId="0" fontId="6" fillId="0" borderId="1" applyAlignment="1" pivotButton="0" quotePrefix="0" xfId="0">
      <alignment horizontal="general" vertical="bottom"/>
    </xf>
    <xf numFmtId="0" fontId="6" fillId="0" borderId="1" applyAlignment="1" pivotButton="0" quotePrefix="0" xfId="0">
      <alignment horizontal="general" vertical="bottom" wrapText="1"/>
    </xf>
    <xf numFmtId="164" fontId="5" fillId="0" borderId="1" applyAlignment="1" pivotButton="0" quotePrefix="0" xfId="0">
      <alignment horizontal="general" vertical="bottom"/>
    </xf>
    <xf numFmtId="0" fontId="10" fillId="3" borderId="2" applyAlignment="1" pivotButton="0" quotePrefix="0" xfId="0">
      <alignment horizontal="right" vertical="bottom"/>
    </xf>
    <xf numFmtId="0" fontId="0" fillId="0" borderId="5" pivotButton="0" quotePrefix="0" xfId="0"/>
    <xf numFmtId="0" fontId="0" fillId="0" borderId="6" pivotButton="0" quotePrefix="0" xfId="0"/>
    <xf numFmtId="164" fontId="11" fillId="3" borderId="2" applyAlignment="1" pivotButton="0" quotePrefix="0" xfId="0">
      <alignment horizontal="general" vertical="bottom"/>
    </xf>
    <xf numFmtId="0" fontId="0" fillId="4" borderId="0" applyAlignment="1" pivotButton="0" quotePrefix="0" xfId="0">
      <alignment horizontal="general" vertical="bottom"/>
    </xf>
    <xf numFmtId="0" fontId="6" fillId="0" borderId="0" applyAlignment="1" pivotButton="0" quotePrefix="0" xfId="0">
      <alignment horizontal="general" vertical="bottom"/>
    </xf>
    <xf numFmtId="0" fontId="0" fillId="5" borderId="0" applyAlignment="1" pivotButton="0" quotePrefix="0" xfId="0">
      <alignment horizontal="general" vertical="bottom"/>
    </xf>
    <xf numFmtId="0" fontId="12" fillId="0" borderId="0" applyAlignment="1" pivotButton="0" quotePrefix="0" xfId="0">
      <alignment horizontal="general" vertical="bottom"/>
    </xf>
    <xf numFmtId="0" fontId="13" fillId="6" borderId="0" applyAlignment="1" pivotButton="0" quotePrefix="0" xfId="0">
      <alignment horizontal="center" vertical="bottom"/>
    </xf>
    <xf numFmtId="165" fontId="6" fillId="0" borderId="1" applyAlignment="1" pivotButton="0" quotePrefix="0" xfId="0">
      <alignment horizontal="center" vertical="bottom"/>
    </xf>
    <xf numFmtId="0" fontId="6" fillId="0" borderId="1" applyAlignment="1" pivotButton="0" quotePrefix="0" xfId="0">
      <alignment horizontal="center" vertical="bottom"/>
    </xf>
    <xf numFmtId="164" fontId="12" fillId="0" borderId="1" applyAlignment="1" pivotButton="0" quotePrefix="0" xfId="0">
      <alignment horizontal="general" vertical="bottom"/>
    </xf>
    <xf numFmtId="164" fontId="6" fillId="0" borderId="1" applyAlignment="1" pivotButton="0" quotePrefix="0" xfId="0">
      <alignment horizontal="general" vertical="bottom"/>
    </xf>
    <xf numFmtId="0" fontId="5" fillId="4" borderId="1" applyAlignment="1" pivotButton="0" quotePrefix="0" xfId="0">
      <alignment horizontal="left" vertical="bottom"/>
    </xf>
    <xf numFmtId="0" fontId="0" fillId="0" borderId="7" pivotButton="0" quotePrefix="0" xfId="0"/>
    <xf numFmtId="0" fontId="0" fillId="0" borderId="8" pivotButton="0" quotePrefix="0" xfId="0"/>
    <xf numFmtId="0" fontId="6" fillId="4" borderId="1" applyAlignment="1" pivotButton="0" quotePrefix="0" xfId="0">
      <alignment horizontal="general" vertical="bottom"/>
    </xf>
    <xf numFmtId="165" fontId="6" fillId="4" borderId="1" applyAlignment="1" pivotButton="0" quotePrefix="0" xfId="0">
      <alignment horizontal="center" vertical="bottom"/>
    </xf>
    <xf numFmtId="0" fontId="6" fillId="4" borderId="1" applyAlignment="1" pivotButton="0" quotePrefix="0" xfId="0">
      <alignment horizontal="center" vertical="bottom"/>
    </xf>
    <xf numFmtId="164" fontId="6" fillId="4" borderId="1" applyAlignment="1" pivotButton="0" quotePrefix="0" xfId="0">
      <alignment horizontal="general" vertical="bottom"/>
    </xf>
    <xf numFmtId="0" fontId="5" fillId="5" borderId="1" applyAlignment="1" pivotButton="0" quotePrefix="0" xfId="0">
      <alignment horizontal="left" vertical="bottom"/>
    </xf>
    <xf numFmtId="0" fontId="6" fillId="5" borderId="1" applyAlignment="1" pivotButton="0" quotePrefix="0" xfId="0">
      <alignment horizontal="general" vertical="bottom"/>
    </xf>
    <xf numFmtId="165" fontId="6" fillId="5" borderId="1" applyAlignment="1" pivotButton="0" quotePrefix="0" xfId="0">
      <alignment horizontal="center" vertical="bottom"/>
    </xf>
    <xf numFmtId="0" fontId="6" fillId="5" borderId="1" applyAlignment="1" pivotButton="0" quotePrefix="0" xfId="0">
      <alignment horizontal="center" vertical="bottom"/>
    </xf>
    <xf numFmtId="164" fontId="6" fillId="5" borderId="1" applyAlignment="1" pivotButton="0" quotePrefix="0" xfId="0">
      <alignment horizontal="general" vertical="bottom"/>
    </xf>
    <xf numFmtId="0" fontId="14" fillId="7" borderId="2" applyAlignment="1" pivotButton="0" quotePrefix="0" xfId="0">
      <alignment horizontal="right" vertical="bottom"/>
    </xf>
    <xf numFmtId="164" fontId="14" fillId="7" borderId="2" applyAlignment="1" pivotButton="0" quotePrefix="0" xfId="0">
      <alignment horizontal="general" vertical="bottom"/>
    </xf>
    <xf numFmtId="0" fontId="14" fillId="7" borderId="2" applyAlignment="1" pivotButton="0" quotePrefix="0" xfId="0">
      <alignment horizontal="general" vertical="bottom"/>
    </xf>
    <xf numFmtId="0" fontId="15" fillId="0" borderId="0" applyAlignment="1" pivotButton="0" quotePrefix="0" xfId="0">
      <alignment horizontal="center" vertical="bottom"/>
    </xf>
    <xf numFmtId="0" fontId="9" fillId="2" borderId="1" applyAlignment="1" pivotButton="0" quotePrefix="0" xfId="0">
      <alignment horizontal="general" vertical="bottom"/>
    </xf>
    <xf numFmtId="0" fontId="12" fillId="0" borderId="1" applyAlignment="1" pivotButton="0" quotePrefix="0" xfId="0">
      <alignment horizontal="general" vertical="bottom"/>
    </xf>
    <xf numFmtId="0" fontId="16"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2EFDA"/>
      <rgbColor rgb="FF660066"/>
      <rgbColor rgb="FFFF8080"/>
      <rgbColor rgb="FF0563C1"/>
      <rgbColor rgb="FFD6E4F0"/>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1F4E79"/>
    <outlinePr summaryBelow="1" summaryRight="1"/>
    <pageSetUpPr fitToPage="0"/>
  </sheetPr>
  <dimension ref="A1:D19"/>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2" customWidth="1" style="41" min="1" max="1"/>
    <col width="30" customWidth="1" style="41" min="2" max="2"/>
    <col width="50" customWidth="1" style="41" min="3" max="3"/>
    <col width="16" customWidth="1" style="41" min="4" max="4"/>
  </cols>
  <sheetData>
    <row r="1" ht="19.5" customHeight="1" s="42">
      <c r="A1" s="43" t="inlineStr">
        <is>
          <t>Claim 20-2023-700 - Repair Estimate</t>
        </is>
      </c>
    </row>
    <row r="3" ht="15" customHeight="1" s="42">
      <c r="A3" s="44" t="inlineStr">
        <is>
          <t>What happened:</t>
        </is>
      </c>
    </row>
    <row r="4" ht="15" customHeight="1" s="42">
      <c r="A4" s="45" t="inlineStr">
        <is>
          <t>Drain line in laundry room backed up and water affected the laundry room, downstairs bathroom, hallway, office, and family room.</t>
        </is>
      </c>
    </row>
    <row r="5" ht="15" customHeight="1" s="42">
      <c r="A5" s="46" t="inlineStr">
        <is>
          <t>Mold treatment completed. This estimate covers remaining repair and finish work only.</t>
        </is>
      </c>
    </row>
    <row r="6" ht="23.25" customHeight="1" s="42">
      <c r="A6" s="47" t="inlineStr">
        <is>
          <t>Owner acting as general contractor. Subs: carpet install, shower system install, concrete leveling. All other work owner-performed. All pricing sourced and linked (see Pricing Sources tab).</t>
        </is>
      </c>
    </row>
    <row r="8" ht="15" customHeight="1" s="42">
      <c r="A8" s="48" t="inlineStr">
        <is>
          <t>Room</t>
        </is>
      </c>
      <c r="B8" s="48" t="inlineStr">
        <is>
          <t>Dimensions</t>
        </is>
      </c>
      <c r="C8" s="48" t="inlineStr">
        <is>
          <t>Scope of Repair</t>
        </is>
      </c>
      <c r="D8" s="48" t="inlineStr">
        <is>
          <t>Room Total</t>
        </is>
      </c>
    </row>
    <row r="9" ht="23.25" customHeight="1" s="42">
      <c r="A9" s="49" t="inlineStr">
        <is>
          <t>Office</t>
        </is>
      </c>
      <c r="B9" s="50" t="inlineStr">
        <is>
          <t>11'7"x14'5" + offset + closet</t>
        </is>
      </c>
      <c r="C9" s="51" t="inlineStr">
        <is>
          <t>LifeProof carpet, concrete leveling, drywall, baseboard, texture, paint</t>
        </is>
      </c>
      <c r="D9" s="52">
        <f>Office!F51</f>
        <v/>
      </c>
    </row>
    <row r="10" ht="15" customHeight="1" s="42">
      <c r="A10" s="49" t="inlineStr">
        <is>
          <t>Laundry Room</t>
        </is>
      </c>
      <c r="B10" s="50" t="inlineStr">
        <is>
          <t>14'7" x 11'7"</t>
        </is>
      </c>
      <c r="C10" s="51" t="inlineStr">
        <is>
          <t>LVP floor, walls, door/trim, baseboard, paint</t>
        </is>
      </c>
      <c r="D10" s="52">
        <f>'Laundry Room'!F48</f>
        <v/>
      </c>
    </row>
    <row r="11" ht="23.25" customHeight="1" s="42">
      <c r="A11" s="49" t="inlineStr">
        <is>
          <t>Downstairs Bathroom</t>
        </is>
      </c>
      <c r="B11" s="50" t="inlineStr">
        <is>
          <t>6'9" x 7'</t>
        </is>
      </c>
      <c r="C11" s="51" t="inlineStr">
        <is>
          <t>DreamStone shower, tile surround, vanity, vinyl floor, door/trim, baseboard, paint</t>
        </is>
      </c>
      <c r="D11" s="52">
        <f>'Downstairs Bathroom'!F61</f>
        <v/>
      </c>
    </row>
    <row r="12" ht="23.25" customHeight="1" s="42">
      <c r="A12" s="49" t="inlineStr">
        <is>
          <t>Hallway</t>
        </is>
      </c>
      <c r="B12" s="50" t="inlineStr">
        <is>
          <t>14' x 3'3" + offset</t>
        </is>
      </c>
      <c r="C12" s="51" t="inlineStr">
        <is>
          <t>LifeProof carpet, concrete leveling, drywall, baseboard, texture, paint</t>
        </is>
      </c>
      <c r="D12" s="52">
        <f>Hallway!F47</f>
        <v/>
      </c>
    </row>
    <row r="13" ht="23.25" customHeight="1" s="42">
      <c r="A13" s="49" t="inlineStr">
        <is>
          <t>Family Room</t>
        </is>
      </c>
      <c r="B13" s="50" t="inlineStr">
        <is>
          <t>14' x 3'3" + offset</t>
        </is>
      </c>
      <c r="C13" s="51" t="inlineStr">
        <is>
          <t>LifeProof carpet, concrete leveling, drywall, paneling, baseboard, texture, paint</t>
        </is>
      </c>
      <c r="D13" s="52">
        <f>'Family Room'!F52</f>
        <v/>
      </c>
    </row>
    <row r="14" ht="15.75" customHeight="1" s="42">
      <c r="A14" s="53" t="inlineStr">
        <is>
          <t>GRAND TOTAL</t>
        </is>
      </c>
      <c r="B14" s="54" t="n"/>
      <c r="C14" s="55" t="n"/>
      <c r="D14" s="56">
        <f>SUM(D9:D13)</f>
        <v/>
      </c>
    </row>
    <row r="16" ht="15" customHeight="1" s="42">
      <c r="A16" s="44" t="inlineStr">
        <is>
          <t>Legend:</t>
        </is>
      </c>
    </row>
    <row r="17" ht="15" customHeight="1" s="42">
      <c r="A17" s="57" t="inlineStr">
        <is>
          <t xml:space="preserve">  Yellow rows</t>
        </is>
      </c>
      <c r="B17" s="58" t="inlineStr">
        <is>
          <t>Owner-performed labor (valued at contractor rates)</t>
        </is>
      </c>
    </row>
    <row r="18" ht="15" customHeight="1" s="42">
      <c r="A18" s="59" t="inlineStr">
        <is>
          <t xml:space="preserve">  Blue rows</t>
        </is>
      </c>
      <c r="B18" s="58" t="inlineStr">
        <is>
          <t>Subcontractor labor</t>
        </is>
      </c>
    </row>
    <row r="19" ht="15" customHeight="1" s="42">
      <c r="A19" s="60" t="inlineStr">
        <is>
          <t xml:space="preserve">  Blue underlined costs</t>
        </is>
      </c>
      <c r="B19" s="58" t="inlineStr">
        <is>
          <t>Clickable link to pricing source</t>
        </is>
      </c>
    </row>
  </sheetData>
  <mergeCells count="6">
    <mergeCell ref="A1:D1"/>
    <mergeCell ref="A5:D5"/>
    <mergeCell ref="A6:D6"/>
    <mergeCell ref="A4:D4"/>
    <mergeCell ref="A14:C14"/>
    <mergeCell ref="A3:D3"/>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2E75B6"/>
    <outlinePr summaryBelow="1" summaryRight="1"/>
    <pageSetUpPr fitToPage="0"/>
  </sheetPr>
  <dimension ref="A1:G5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Office</t>
        </is>
      </c>
    </row>
    <row r="3" ht="15" customHeight="1" s="42">
      <c r="A3" s="44" t="inlineStr">
        <is>
          <t>Room:</t>
        </is>
      </c>
      <c r="B3" s="58" t="inlineStr">
        <is>
          <t>Office</t>
        </is>
      </c>
    </row>
    <row r="4" ht="15" customHeight="1" s="42">
      <c r="A4" s="44" t="inlineStr">
        <is>
          <t>Dimensions:</t>
        </is>
      </c>
      <c r="B4" s="58" t="inlineStr">
        <is>
          <t>11'7" x 14'5" + offset 8x3'7" + closet 8x3'5"</t>
        </is>
      </c>
    </row>
    <row r="5" ht="15" customHeight="1" s="42">
      <c r="A5" s="44" t="inlineStr">
        <is>
          <t>Areas of Repair:</t>
        </is>
      </c>
      <c r="B5" s="45" t="inlineStr">
        <is>
          <t>Full room: LifeProof carpet &amp; pad, concrete crack repair &amp; leveling, drywall repair, all baseboard replaced, texture &amp; paint all walls</t>
        </is>
      </c>
    </row>
    <row r="7" ht="26.25" customHeight="1" s="42">
      <c r="A7" s="48" t="inlineStr">
        <is>
          <t>Category</t>
        </is>
      </c>
      <c r="B7" s="48" t="inlineStr">
        <is>
          <t>Material / Item</t>
        </is>
      </c>
      <c r="C7" s="48" t="inlineStr">
        <is>
          <t>Qty</t>
        </is>
      </c>
      <c r="D7" s="48" t="inlineStr">
        <is>
          <t>Unit</t>
        </is>
      </c>
      <c r="E7" s="48" t="inlineStr">
        <is>
          <t>Unit Cost</t>
        </is>
      </c>
      <c r="F7" s="48" t="inlineStr">
        <is>
          <t>Extended Cost</t>
        </is>
      </c>
      <c r="G7" s="48" t="inlineStr">
        <is>
          <t>Notes</t>
        </is>
      </c>
    </row>
    <row r="8" ht="15" customHeight="1" s="42">
      <c r="A8" s="50" t="inlineStr">
        <is>
          <t>Flooring</t>
        </is>
      </c>
      <c r="B8" s="50" t="inlineStr">
        <is>
          <t>LifeProof w/ Petproof Technology - low pile carpet</t>
        </is>
      </c>
      <c r="C8" s="62" t="n">
        <v>223</v>
      </c>
      <c r="D8" s="63" t="inlineStr">
        <is>
          <t>SF</t>
        </is>
      </c>
      <c r="E8" s="64">
        <f>HYPERLINK("https://www.homedepot.com/b/Flooring-Carpet/Lifeproof-with-Petproof-Technology/N-5yc1vZarl0Zs7d",5.49)</f>
        <v/>
      </c>
      <c r="F8" s="65">
        <f>C8*E8</f>
        <v/>
      </c>
      <c r="G8" s="50" t="inlineStr">
        <is>
          <t>Triexta, lifetime pet-stain warranty, 25yr wear; AUDIT: URL is category page, not specific product SKU</t>
        </is>
      </c>
    </row>
    <row r="9" ht="15" customHeight="1" s="42">
      <c r="A9" s="50" t="inlineStr">
        <is>
          <t>Flooring</t>
        </is>
      </c>
      <c r="B9" s="50" t="inlineStr">
        <is>
          <t>LifeProof 1/2" Premium Comfort Foam pad (SpillSafe)</t>
        </is>
      </c>
      <c r="C9" s="62" t="n">
        <v>223</v>
      </c>
      <c r="D9" s="63" t="inlineStr">
        <is>
          <t>SF</t>
        </is>
      </c>
      <c r="E9" s="64">
        <f>HYPERLINK("https://www.homedepot.com/p/Lifeproof-1-2-in-Thick-Premium-Comfort-Foam-Carpet-Pad-with-Double-Sided-Waterproof-SpillSafe-Membrane-100502850-04/316061675",1.35)</f>
        <v/>
      </c>
      <c r="F9" s="65">
        <f>C9*E9</f>
        <v/>
      </c>
      <c r="G9" s="50" t="inlineStr">
        <is>
          <t>Double-sided waterproof moisture barrier</t>
        </is>
      </c>
    </row>
    <row r="10" ht="15" customHeight="1" s="42">
      <c r="A10" s="50" t="inlineStr">
        <is>
          <t>Flooring</t>
        </is>
      </c>
      <c r="B10" s="50" t="inlineStr">
        <is>
          <t>Tack strips</t>
        </is>
      </c>
      <c r="C10" s="62" t="n">
        <v>92</v>
      </c>
      <c r="D10" s="63" t="inlineStr">
        <is>
          <t>LF</t>
        </is>
      </c>
      <c r="E10" s="64">
        <f>HYPERLINK("https://www.homedepot.com/p/Halex-Poplar-7-8-in-x-4-ft-Carpet-Tack-Strip-for-Wood-or-Concrete-Subfloors-3-Pack-HD-161-P-8/203301578",0.29)</f>
        <v/>
      </c>
      <c r="F10" s="65">
        <f>C10*E10</f>
        <v/>
      </c>
      <c r="G10" s="50" t="inlineStr">
        <is>
          <t>Full room perimeter</t>
        </is>
      </c>
    </row>
    <row r="11" ht="15" customHeight="1" s="42">
      <c r="A11" s="50" t="inlineStr">
        <is>
          <t>Flooring</t>
        </is>
      </c>
      <c r="B11" s="50" t="inlineStr">
        <is>
          <t>Carpet seam tape</t>
        </is>
      </c>
      <c r="C11" s="62" t="n">
        <v>1</v>
      </c>
      <c r="D11" s="63" t="inlineStr">
        <is>
          <t>roll</t>
        </is>
      </c>
      <c r="E11" s="64">
        <f>HYPERLINK("https://www.homedepot.com/p/ROBERTS-Heat-Loc-3-11-16-in-x-60-ft-Heat-Bond-Carpet-Seaming-Tape-Roll-50-245/204470708",13.2)</f>
        <v/>
      </c>
      <c r="F11" s="65">
        <f>C11*E11</f>
        <v/>
      </c>
      <c r="G11" s="50" t="n"/>
    </row>
    <row r="12" ht="15" customHeight="1" s="42">
      <c r="A12" s="50" t="inlineStr">
        <is>
          <t>Concrete</t>
        </is>
      </c>
      <c r="B12" s="50" t="inlineStr">
        <is>
          <t>Concrete &amp; mortar filler/sealant (10oz)</t>
        </is>
      </c>
      <c r="C12" s="62" t="n">
        <v>3</v>
      </c>
      <c r="D12" s="63" t="inlineStr">
        <is>
          <t>ea</t>
        </is>
      </c>
      <c r="E12" s="64">
        <f>HYPERLINK("https://www.homedepot.com/p/DAP-10-1-oz-Gray-Concrete-and-Mortar-Filler-and-Latex-Sealant-18096/204167828",8.78)</f>
        <v/>
      </c>
      <c r="F12" s="65">
        <f>C12*E12</f>
        <v/>
      </c>
      <c r="G12" s="50" t="inlineStr">
        <is>
          <t>Phase 1: Individual crack repair</t>
        </is>
      </c>
    </row>
    <row r="13" ht="15" customHeight="1" s="42">
      <c r="A13" s="50" t="inlineStr">
        <is>
          <t>Concrete</t>
        </is>
      </c>
      <c r="B13" s="50" t="inlineStr">
        <is>
          <t>Concrete crack backer rod (3/8")</t>
        </is>
      </c>
      <c r="C13" s="62" t="n">
        <v>1</v>
      </c>
      <c r="D13" s="63" t="inlineStr">
        <is>
          <t>roll</t>
        </is>
      </c>
      <c r="E13" s="64">
        <f>HYPERLINK("https://www.homedepot.com/p/M-D-Building-Products-3-8-in-x-20-ft-Caulk-Backer-Rod-71464/202066517",4.48)</f>
        <v/>
      </c>
      <c r="F13" s="65">
        <f>C13*E13</f>
        <v/>
      </c>
      <c r="G13" s="50" t="n"/>
    </row>
    <row r="14" ht="15" customHeight="1" s="42">
      <c r="A14" s="50" t="inlineStr">
        <is>
          <t>Concrete</t>
        </is>
      </c>
      <c r="B14" s="50" t="inlineStr">
        <is>
          <t>Concrete bonding adhesive</t>
        </is>
      </c>
      <c r="C14" s="62" t="n">
        <v>1</v>
      </c>
      <c r="D14" s="63" t="inlineStr">
        <is>
          <t>gal</t>
        </is>
      </c>
      <c r="E14" s="64">
        <f>HYPERLINK("https://www.homedepot.com/p/Quikrete-1-Qt-Concrete-Bonding-Adhesive-990214/100318541",11.97)</f>
        <v/>
      </c>
      <c r="F14" s="65">
        <f>C14*E14</f>
        <v/>
      </c>
      <c r="G14" s="50" t="n"/>
    </row>
    <row r="15" ht="15" customHeight="1" s="42">
      <c r="A15" s="50" t="inlineStr">
        <is>
          <t>Concrete</t>
        </is>
      </c>
      <c r="B15" s="50" t="inlineStr">
        <is>
          <t>Hydraulic cement (10 lb)</t>
        </is>
      </c>
      <c r="C15" s="62" t="n">
        <v>1</v>
      </c>
      <c r="D15" s="63" t="inlineStr">
        <is>
          <t>bag</t>
        </is>
      </c>
      <c r="E15" s="64">
        <f>HYPERLINK("https://www.homedepot.com/p/Quikrete-10-lb-Hydraulic-Water-Stop-Cement-112611/100318494",14.52)</f>
        <v/>
      </c>
      <c r="F15" s="65">
        <f>C15*E15</f>
        <v/>
      </c>
      <c r="G15" s="50" t="inlineStr">
        <is>
          <t>Wider cracks / spalling</t>
        </is>
      </c>
    </row>
    <row r="16" ht="15" customHeight="1" s="42">
      <c r="A16" s="50" t="inlineStr">
        <is>
          <t>Concrete</t>
        </is>
      </c>
      <c r="B16" s="50" t="inlineStr">
        <is>
          <t>Self-leveling compound (40 lb bag)</t>
        </is>
      </c>
      <c r="C16" s="62" t="n">
        <v>7</v>
      </c>
      <c r="D16" s="63" t="inlineStr">
        <is>
          <t>bag</t>
        </is>
      </c>
      <c r="E16" s="64">
        <f>HYPERLINK("https://www.homedepot.com/p/Henry-555-Level-Pro-40-lb-Self-Leveling-Underlayment-12165/100549588",35.0)</f>
        <v/>
      </c>
      <c r="F16" s="65">
        <f>C16*E16</f>
        <v/>
      </c>
      <c r="G16" s="50" t="inlineStr">
        <is>
          <t>Phase 2 if needed: Full floor ~223 SF</t>
        </is>
      </c>
    </row>
    <row r="17" ht="15" customHeight="1" s="42">
      <c r="A17" s="50" t="inlineStr">
        <is>
          <t>Concrete</t>
        </is>
      </c>
      <c r="B17" s="50" t="inlineStr">
        <is>
          <t>SLC primer / bonding agent (1 gal)</t>
        </is>
      </c>
      <c r="C17" s="62" t="n">
        <v>1</v>
      </c>
      <c r="D17" s="63" t="inlineStr">
        <is>
          <t>gal</t>
        </is>
      </c>
      <c r="E17" s="64">
        <f>HYPERLINK("https://www.homedepot.com/p/Henry-554-Level-Pro-1-Gallon-Indoor-Underlayment-Primer-48967/340501834",27.98)</f>
        <v/>
      </c>
      <c r="F17" s="65">
        <f>C17*E17</f>
        <v/>
      </c>
      <c r="G17" s="50" t="inlineStr">
        <is>
          <t>Required prep for SLC</t>
        </is>
      </c>
    </row>
    <row r="18" ht="15" customHeight="1" s="42">
      <c r="A18" s="50" t="inlineStr">
        <is>
          <t>Drywall</t>
        </is>
      </c>
      <c r="B18" s="50" t="inlineStr">
        <is>
          <t>1/2" x 4'x8' UltraLight drywall</t>
        </is>
      </c>
      <c r="C18" s="62" t="n">
        <v>5</v>
      </c>
      <c r="D18" s="63" t="inlineStr">
        <is>
          <t>sheet</t>
        </is>
      </c>
      <c r="E18" s="64">
        <f>HYPERLINK("https://www.homedepot.com/p/USG-Sheetrock-Brand-1-2-in-x-4-ft-x-8-ft-UltraLight-Drywall-14113411708/202530243",16.68)</f>
        <v/>
      </c>
      <c r="F18" s="65">
        <f>C18*E18</f>
        <v/>
      </c>
      <c r="G18" s="50" t="n"/>
    </row>
    <row r="19" ht="15" customHeight="1" s="42">
      <c r="A19" s="50" t="inlineStr">
        <is>
          <t>Drywall</t>
        </is>
      </c>
      <c r="B19" s="50" t="inlineStr">
        <is>
          <t>Drywall screws 1-1/4" coarse (1 lb)</t>
        </is>
      </c>
      <c r="C19" s="62" t="n">
        <v>2</v>
      </c>
      <c r="D19" s="63" t="inlineStr">
        <is>
          <t>box</t>
        </is>
      </c>
      <c r="E19" s="64">
        <f>HYPERLINK("https://www.homedepot.com/p/Grip-Rite-6-x-1-1-4-in-Philips-Bugle-Head-Coarse-Thread-Sharp-Point-Drywall-Screws-1-lb-Pack-114CDWS1/100153837",6.97)</f>
        <v/>
      </c>
      <c r="F19" s="65">
        <f>C19*E19</f>
        <v/>
      </c>
      <c r="G19" s="50" t="n"/>
    </row>
    <row r="20" ht="15" customHeight="1" s="42">
      <c r="A20" s="50" t="inlineStr">
        <is>
          <t>Drywall</t>
        </is>
      </c>
      <c r="B20" s="50" t="inlineStr">
        <is>
          <t>Paper drywall tape (250 ft)</t>
        </is>
      </c>
      <c r="C20" s="62" t="n">
        <v>2</v>
      </c>
      <c r="D20" s="63" t="inlineStr">
        <is>
          <t>roll</t>
        </is>
      </c>
      <c r="E20" s="64">
        <f>HYPERLINK("https://www.homedepot.com/p/USG-Sheetrock-Brand-2-1-16-in-x-250-ft-Paper-Joint-Tape-382175/100321614",4.88)</f>
        <v/>
      </c>
      <c r="F20" s="65">
        <f>C20*E20</f>
        <v/>
      </c>
      <c r="G20" s="50" t="n"/>
    </row>
    <row r="21" ht="15" customHeight="1" s="42">
      <c r="A21" s="50" t="inlineStr">
        <is>
          <t>Drywall</t>
        </is>
      </c>
      <c r="B21" s="50" t="inlineStr">
        <is>
          <t>All-purpose joint compound (4.5 gal)</t>
        </is>
      </c>
      <c r="C21" s="62" t="n">
        <v>2</v>
      </c>
      <c r="D21" s="63" t="inlineStr">
        <is>
          <t>bucket</t>
        </is>
      </c>
      <c r="E21" s="64">
        <f>HYPERLINK("https://www.homedepot.com/p/USG-Sheetrock-Brand-4-5-Gal-All-Purpose-Pre-Mixed-Joint-Compound-380501/100321602",20.58)</f>
        <v/>
      </c>
      <c r="F21" s="65">
        <f>C21*E21</f>
        <v/>
      </c>
      <c r="G21" s="50" t="n"/>
    </row>
    <row r="22" ht="15" customHeight="1" s="42">
      <c r="A22" s="50" t="inlineStr">
        <is>
          <t>Drywall</t>
        </is>
      </c>
      <c r="B22" s="50" t="inlineStr">
        <is>
          <t>Lightweight finishing compound (4.5 gal)</t>
        </is>
      </c>
      <c r="C22" s="62" t="n">
        <v>1</v>
      </c>
      <c r="D22" s="63" t="inlineStr">
        <is>
          <t>bucket</t>
        </is>
      </c>
      <c r="E22" s="64">
        <f>HYPERLINK("https://www.homedepot.com/p/USG-Sheetrock-Brand-4-5-Gal-Plus-3-Lightweight-All-Purpose-Pre-Mixed-Joint-Compound-381466/100321604",23.68)</f>
        <v/>
      </c>
      <c r="F22" s="65">
        <f>C22*E22</f>
        <v/>
      </c>
      <c r="G22" s="50" t="n"/>
    </row>
    <row r="23" ht="15" customHeight="1" s="42">
      <c r="A23" s="50" t="inlineStr">
        <is>
          <t>Drywall</t>
        </is>
      </c>
      <c r="B23" s="50" t="inlineStr">
        <is>
          <t>Sanding sponge (med/fine)</t>
        </is>
      </c>
      <c r="C23" s="62" t="n">
        <v>3</v>
      </c>
      <c r="D23" s="63" t="inlineStr">
        <is>
          <t>ea</t>
        </is>
      </c>
      <c r="E23" s="64">
        <f>HYPERLINK("https://www.homedepot.com/p/3M-2-7-8-in-x-4-7-8-in-x-1-in-Fine-Medium-Drywall-Sanding-Sponge-9093DCNA/100353968",4.97)</f>
        <v/>
      </c>
      <c r="F23" s="65">
        <f>C23*E23</f>
        <v/>
      </c>
      <c r="G23" s="50" t="n"/>
    </row>
    <row r="24" ht="15" customHeight="1" s="42">
      <c r="A24" s="50" t="inlineStr">
        <is>
          <t>Trim</t>
        </is>
      </c>
      <c r="B24" s="50" t="inlineStr">
        <is>
          <t>Baseboard - 3-1/4" MDF primed (8ft)</t>
        </is>
      </c>
      <c r="C24" s="62" t="n">
        <v>12</v>
      </c>
      <c r="D24" s="63" t="inlineStr">
        <is>
          <t>piece</t>
        </is>
      </c>
      <c r="E24" s="64">
        <f>HYPERLINK("https://www.homedepot.com/p/Woodgrain-Millwork-623-1-2-in-x-3-1-4-in-x-96-in-Primed-MDF-Baseboard-Moulding-1-Piece-8-Total-Linear-Feet-10001007/203209370",6.51)</f>
        <v/>
      </c>
      <c r="F24" s="65">
        <f>C24*E24</f>
        <v/>
      </c>
      <c r="G24" s="50" t="inlineStr">
        <is>
          <t>~92 LF full perimeter</t>
        </is>
      </c>
    </row>
    <row r="25" ht="15" customHeight="1" s="42">
      <c r="A25" s="50" t="inlineStr">
        <is>
          <t>Trim</t>
        </is>
      </c>
      <c r="B25" s="50" t="inlineStr">
        <is>
          <t>Plinth blocks (MDF primed)</t>
        </is>
      </c>
      <c r="C25" s="62" t="n">
        <v>8</v>
      </c>
      <c r="D25" s="63" t="inlineStr">
        <is>
          <t>ea</t>
        </is>
      </c>
      <c r="E25" s="64">
        <f>HYPERLINK("https://www.homedepot.com/p/House-of-Fara-3-4-in-x-3-1-4-in-x-3-1-4-in-MDF-Primed-Plinth-Block-8621/205426918",3.98)</f>
        <v/>
      </c>
      <c r="F25" s="65">
        <f>C25*E25</f>
        <v/>
      </c>
      <c r="G25" s="50" t="n"/>
    </row>
    <row r="26" ht="15" customHeight="1" s="42">
      <c r="A26" s="50" t="inlineStr">
        <is>
          <t>Trim</t>
        </is>
      </c>
      <c r="B26" s="50" t="inlineStr">
        <is>
          <t>18ga 2" brad nails (1000ct)</t>
        </is>
      </c>
      <c r="C26" s="62" t="n">
        <v>1</v>
      </c>
      <c r="D26" s="63" t="inlineStr">
        <is>
          <t>box</t>
        </is>
      </c>
      <c r="E26" s="64">
        <f>HYPERLINK("https://www.homedepot.com/p/Grip-Rite-2-in-18-Gauge-Brad-Nails-1000-Pack-GRF18200/202308594",7.98)</f>
        <v/>
      </c>
      <c r="F26" s="65">
        <f>C26*E26</f>
        <v/>
      </c>
      <c r="G26" s="50" t="n"/>
    </row>
    <row r="27" ht="15" customHeight="1" s="42">
      <c r="A27" s="50" t="inlineStr">
        <is>
          <t>Trim</t>
        </is>
      </c>
      <c r="B27" s="50" t="inlineStr">
        <is>
          <t>Paintable latex caulk</t>
        </is>
      </c>
      <c r="C27" s="62" t="n">
        <v>3</v>
      </c>
      <c r="D27" s="63" t="inlineStr">
        <is>
          <t>tube</t>
        </is>
      </c>
      <c r="E27" s="64">
        <f>HYPERLINK("https://www.homedepot.com/p/DAP-Alex-Plus-10-1-oz-White-Acrylic-Latex-Caulk-Plus-Silicone-18103/100097524",3.98)</f>
        <v/>
      </c>
      <c r="F27" s="65">
        <f>C27*E27</f>
        <v/>
      </c>
      <c r="G27" s="50" t="n"/>
    </row>
    <row r="28" ht="15" customHeight="1" s="42">
      <c r="A28" s="50" t="inlineStr">
        <is>
          <t>Trim</t>
        </is>
      </c>
      <c r="B28" s="50" t="inlineStr">
        <is>
          <t>Wood filler / spackle</t>
        </is>
      </c>
      <c r="C28" s="62" t="n">
        <v>1</v>
      </c>
      <c r="D28" s="63" t="inlineStr">
        <is>
          <t>tube</t>
        </is>
      </c>
      <c r="E28" s="64">
        <f>HYPERLINK("https://www.homedepot.com/p/DAP-Plastic-Wood-X-with-DryDex-5-5-oz-All-Purpose-Wood-Filler-00540/206667344",7.98)</f>
        <v/>
      </c>
      <c r="F28" s="65">
        <f>C28*E28</f>
        <v/>
      </c>
      <c r="G28" s="50" t="n"/>
    </row>
    <row r="29" ht="15" customHeight="1" s="42">
      <c r="A29" s="50" t="inlineStr">
        <is>
          <t>Texture</t>
        </is>
      </c>
      <c r="B29" s="50" t="inlineStr">
        <is>
          <t>Spray texture - orange peel (20oz)</t>
        </is>
      </c>
      <c r="C29" s="62" t="n">
        <v>5</v>
      </c>
      <c r="D29" s="63" t="inlineStr">
        <is>
          <t>can</t>
        </is>
      </c>
      <c r="E29" s="64">
        <f>HYPERLINK("https://www.homedepot.com/p/Homax-20-oz-Wall-Orange-Peel-Low-Odor-Water-Based-Texture-Spray-Paint-4092-06/100154309",16.98)</f>
        <v/>
      </c>
      <c r="F29" s="65">
        <f>C29*E29</f>
        <v/>
      </c>
      <c r="G29" s="50" t="inlineStr">
        <is>
          <t>Match existing</t>
        </is>
      </c>
    </row>
    <row r="30" ht="15" customHeight="1" s="42">
      <c r="A30" s="50" t="inlineStr">
        <is>
          <t>Paint</t>
        </is>
      </c>
      <c r="B30" s="50" t="inlineStr">
        <is>
          <t>Zinsser Bulls Eye 1-2-3 Primer (1 gal)</t>
        </is>
      </c>
      <c r="C30" s="62" t="n">
        <v>2</v>
      </c>
      <c r="D30" s="63" t="inlineStr">
        <is>
          <t>gal</t>
        </is>
      </c>
      <c r="E30" s="64">
        <f>HYPERLINK("https://www.homedepot.com/p/Zinsser-Bulls-Eye-1-2-3-1-Gal-White-Water-Based-Interior-Exterior-Primer-and-Sealer-2001/100398391",28.98)</f>
        <v/>
      </c>
      <c r="F30" s="65">
        <f>C30*E30</f>
        <v/>
      </c>
      <c r="G30" s="50" t="inlineStr">
        <is>
          <t>All walls</t>
        </is>
      </c>
    </row>
    <row r="31" ht="15" customHeight="1" s="42">
      <c r="A31" s="50" t="inlineStr">
        <is>
          <t>Paint</t>
        </is>
      </c>
      <c r="B31" s="50" t="inlineStr">
        <is>
          <t>BEHR Marquee interior paint - eggshell (1 gal)</t>
        </is>
      </c>
      <c r="C31" s="62" t="n">
        <v>3</v>
      </c>
      <c r="D31" s="63" t="inlineStr">
        <is>
          <t>gal</t>
        </is>
      </c>
      <c r="E31" s="64">
        <f>HYPERLINK("https://www.homedepot.com/p/BEHR-MARQUEE-1-gal-Ultra-Pure-White-Eggshell-Enamel-Interior-Paint-Primer-245001/204747490",54.98)</f>
        <v/>
      </c>
      <c r="F31" s="65">
        <f>C31*E31</f>
        <v/>
      </c>
      <c r="G31" s="50" t="inlineStr">
        <is>
          <t>All walls, 2 coats (~500 SF)</t>
        </is>
      </c>
    </row>
    <row r="32" ht="15" customHeight="1" s="42">
      <c r="A32" s="50" t="inlineStr">
        <is>
          <t>Paint</t>
        </is>
      </c>
      <c r="B32" s="50" t="inlineStr">
        <is>
          <t>BEHR Marquee semi-gloss trim paint (1 qt)</t>
        </is>
      </c>
      <c r="C32" s="62" t="n">
        <v>1</v>
      </c>
      <c r="D32" s="63" t="inlineStr">
        <is>
          <t>qt</t>
        </is>
      </c>
      <c r="E32" s="64">
        <f>HYPERLINK("https://www.homedepot.com/p/BEHR-MARQUEE-1-qt-Ultra-Pure-White-Semi-Gloss-Enamel-Interior-Paint-Primer-345004/204747525",23.98)</f>
        <v/>
      </c>
      <c r="F32" s="65">
        <f>C32*E32</f>
        <v/>
      </c>
      <c r="G32" s="50" t="inlineStr">
        <is>
          <t>Baseboard &amp; trim</t>
        </is>
      </c>
    </row>
    <row r="33" ht="15" customHeight="1" s="42">
      <c r="A33" s="50" t="inlineStr">
        <is>
          <t>Paint</t>
        </is>
      </c>
      <c r="B33" s="50" t="inlineStr">
        <is>
          <t>Paint roller covers 3/8" nap (3-pack)</t>
        </is>
      </c>
      <c r="C33" s="62" t="n">
        <v>2</v>
      </c>
      <c r="D33" s="63" t="inlineStr">
        <is>
          <t>pack</t>
        </is>
      </c>
      <c r="E33" s="64">
        <f>HYPERLINK("https://www.homedepot.com/p/Wooster-9-in-x-3-8-in-Pro-American-Contractor-High-Density-Knit-Roller-Cover-3-Pack-0-RC660-9/205625717",11.97)</f>
        <v/>
      </c>
      <c r="F33" s="65">
        <f>C33*E33</f>
        <v/>
      </c>
      <c r="G33" s="50" t="inlineStr">
        <is>
          <t>AUDIT: Roller covers SKU may be superseded</t>
        </is>
      </c>
    </row>
    <row r="34" ht="15" customHeight="1" s="42">
      <c r="A34" s="50" t="inlineStr">
        <is>
          <t>Paint</t>
        </is>
      </c>
      <c r="B34" s="50" t="inlineStr">
        <is>
          <t>Roller frame &amp; extension pole</t>
        </is>
      </c>
      <c r="C34" s="62" t="n">
        <v>1</v>
      </c>
      <c r="D34" s="63" t="inlineStr">
        <is>
          <t>ea</t>
        </is>
      </c>
      <c r="E34" s="64">
        <f>HYPERLINK("https://www.homedepot.com/p/Wooster-9-in-Sherlock-Frame-with-Jumbo-Koter-Cage-and-4-ft-to-8-ft-Sherlock-Extension-Pole-0R0170000/300697399",16.98)</f>
        <v/>
      </c>
      <c r="F34" s="65">
        <f>C34*E34</f>
        <v/>
      </c>
      <c r="G34" s="50" t="inlineStr">
        <is>
          <t>AUDIT: Roller frame SKU may be discontinued</t>
        </is>
      </c>
    </row>
    <row r="35" ht="15" customHeight="1" s="42">
      <c r="A35" s="50" t="inlineStr">
        <is>
          <t>Paint</t>
        </is>
      </c>
      <c r="B35" s="50" t="inlineStr">
        <is>
          <t>Paint tray &amp; liners</t>
        </is>
      </c>
      <c r="C35" s="62" t="n">
        <v>1</v>
      </c>
      <c r="D35" s="63" t="inlineStr">
        <is>
          <t>set</t>
        </is>
      </c>
      <c r="E35" s="64">
        <f>HYPERLINK("https://www.homedepot.com/p/HDX-9-in-Paint-Tray-Set-3-Piece-HD-RM-333/205879558",9.97)</f>
        <v/>
      </c>
      <c r="F35" s="65">
        <f>C35*E35</f>
        <v/>
      </c>
      <c r="G35" s="50" t="inlineStr">
        <is>
          <t>AUDIT: Paint tray SKU may be discontinued</t>
        </is>
      </c>
    </row>
    <row r="36" ht="15" customHeight="1" s="42">
      <c r="A36" s="50" t="inlineStr">
        <is>
          <t>Paint</t>
        </is>
      </c>
      <c r="B36" s="50" t="inlineStr">
        <is>
          <t>Angled sash brush 2.5"</t>
        </is>
      </c>
      <c r="C36" s="62" t="n">
        <v>2</v>
      </c>
      <c r="D36" s="63" t="inlineStr">
        <is>
          <t>ea</t>
        </is>
      </c>
      <c r="E36" s="64">
        <f>HYPERLINK("https://www.homedepot.com/p/Wooster-2-1-2-in-Pro-Nylon-Polyester-Angle-Sash-Brush-0H21170024/100168988",8.98)</f>
        <v/>
      </c>
      <c r="F36" s="65">
        <f>C36*E36</f>
        <v/>
      </c>
      <c r="G36" s="50" t="inlineStr">
        <is>
          <t>AUDIT: Sash brush SKU may be discontinued</t>
        </is>
      </c>
    </row>
    <row r="37" ht="15" customHeight="1" s="42">
      <c r="A37" s="50" t="inlineStr">
        <is>
          <t>Paint</t>
        </is>
      </c>
      <c r="B37" s="50" t="inlineStr">
        <is>
          <t>Painters tape (1.88" x 60yd)</t>
        </is>
      </c>
      <c r="C37" s="62" t="n">
        <v>3</v>
      </c>
      <c r="D37" s="63" t="inlineStr">
        <is>
          <t>roll</t>
        </is>
      </c>
      <c r="E37" s="64">
        <f>HYPERLINK("https://www.homedepot.com/p/ScotchBlue-1-88-in-x-60-yds-Sharp-Lines-Multi-Surface-Painters-Tape-2090-48TC/305375312",7.98)</f>
        <v/>
      </c>
      <c r="F37" s="65">
        <f>C37*E37</f>
        <v/>
      </c>
      <c r="G37" s="50" t="inlineStr">
        <is>
          <t>AUDIT: ScotchBlue tape may be rebranded PROSharp</t>
        </is>
      </c>
    </row>
    <row r="38" ht="15" customHeight="1" s="42">
      <c r="A38" s="50" t="inlineStr">
        <is>
          <t>Supplies</t>
        </is>
      </c>
      <c r="B38" s="50" t="inlineStr">
        <is>
          <t>Plastic sheeting / drop cloths</t>
        </is>
      </c>
      <c r="C38" s="62" t="n">
        <v>2</v>
      </c>
      <c r="D38" s="63" t="inlineStr">
        <is>
          <t>pack</t>
        </is>
      </c>
      <c r="E38" s="64">
        <f>HYPERLINK("https://www.homedepot.com/p/HDX-9-ft-x-12-ft-0-7-mil-Drop-Cloth-2-Pack-DCHD-07-2/202528629",6.98)</f>
        <v/>
      </c>
      <c r="F38" s="65">
        <f>C38*E38</f>
        <v/>
      </c>
      <c r="G38" s="50" t="inlineStr">
        <is>
          <t>AUDIT: Drop cloth SKU not found in search</t>
        </is>
      </c>
    </row>
    <row r="39" ht="15" customHeight="1" s="42">
      <c r="A39" s="50" t="inlineStr">
        <is>
          <t>Supplies</t>
        </is>
      </c>
      <c r="B39" s="50" t="inlineStr">
        <is>
          <t>Disposal / debris hauling</t>
        </is>
      </c>
      <c r="C39" s="62" t="n">
        <v>1</v>
      </c>
      <c r="D39" s="63" t="inlineStr">
        <is>
          <t>flat</t>
        </is>
      </c>
      <c r="E39" s="65" t="n">
        <v>75</v>
      </c>
      <c r="F39" s="65">
        <f>C39*E39</f>
        <v/>
      </c>
      <c r="G39" s="50" t="inlineStr">
        <is>
          <t>Old materials removal</t>
        </is>
      </c>
    </row>
    <row r="40" ht="15" customHeight="1" s="42">
      <c r="A40" s="66" t="inlineStr">
        <is>
          <t>&gt;&gt;&gt; OWNER-PERFORMED LABOR (valued at contractor equivalent rates)</t>
        </is>
      </c>
      <c r="B40" s="67" t="n"/>
      <c r="C40" s="67" t="n"/>
      <c r="D40" s="67" t="n"/>
      <c r="E40" s="67" t="n"/>
      <c r="F40" s="67" t="n"/>
      <c r="G40" s="68" t="n"/>
    </row>
    <row r="41" ht="15" customHeight="1" s="42">
      <c r="A41" s="69" t="inlineStr">
        <is>
          <t>Owner Labor</t>
        </is>
      </c>
      <c r="B41" s="69" t="inlineStr">
        <is>
          <t>Carpet &amp; pad removal (old)</t>
        </is>
      </c>
      <c r="C41" s="70" t="n">
        <v>223</v>
      </c>
      <c r="D41" s="71" t="inlineStr">
        <is>
          <t>SF</t>
        </is>
      </c>
      <c r="E41" s="72" t="n">
        <v>0.85</v>
      </c>
      <c r="F41" s="72">
        <f>C41*E41</f>
        <v/>
      </c>
      <c r="G41" s="69" t="inlineStr">
        <is>
          <t>See Pricing Sources tab</t>
        </is>
      </c>
    </row>
    <row r="42" ht="15" customHeight="1" s="42">
      <c r="A42" s="69" t="inlineStr">
        <is>
          <t>Owner Labor</t>
        </is>
      </c>
      <c r="B42" s="69" t="inlineStr">
        <is>
          <t>Drywall - hang, tape, mud, sand (Level 4)</t>
        </is>
      </c>
      <c r="C42" s="70" t="n">
        <v>130</v>
      </c>
      <c r="D42" s="71" t="inlineStr">
        <is>
          <t>SF</t>
        </is>
      </c>
      <c r="E42" s="72" t="n">
        <v>2.75</v>
      </c>
      <c r="F42" s="72">
        <f>C42*E42</f>
        <v/>
      </c>
      <c r="G42" s="69" t="inlineStr">
        <is>
          <t>See Pricing Sources tab</t>
        </is>
      </c>
    </row>
    <row r="43" ht="15" customHeight="1" s="42">
      <c r="A43" s="69" t="inlineStr">
        <is>
          <t>Owner Labor</t>
        </is>
      </c>
      <c r="B43" s="69" t="inlineStr">
        <is>
          <t>Texture application - match existing</t>
        </is>
      </c>
      <c r="C43" s="70" t="n">
        <v>130</v>
      </c>
      <c r="D43" s="71" t="inlineStr">
        <is>
          <t>SF</t>
        </is>
      </c>
      <c r="E43" s="72" t="n">
        <v>1.5</v>
      </c>
      <c r="F43" s="72">
        <f>C43*E43</f>
        <v/>
      </c>
      <c r="G43" s="69" t="inlineStr">
        <is>
          <t>See Pricing Sources tab</t>
        </is>
      </c>
    </row>
    <row r="44" ht="15" customHeight="1" s="42">
      <c r="A44" s="69" t="inlineStr">
        <is>
          <t>Owner Labor</t>
        </is>
      </c>
      <c r="B44" s="69" t="inlineStr">
        <is>
          <t>Baseboard removal (old)</t>
        </is>
      </c>
      <c r="C44" s="70" t="n">
        <v>92</v>
      </c>
      <c r="D44" s="71" t="inlineStr">
        <is>
          <t>LF</t>
        </is>
      </c>
      <c r="E44" s="72" t="n">
        <v>1.25</v>
      </c>
      <c r="F44" s="72">
        <f>C44*E44</f>
        <v/>
      </c>
      <c r="G44" s="69" t="inlineStr">
        <is>
          <t>See Pricing Sources tab</t>
        </is>
      </c>
    </row>
    <row r="45" ht="15" customHeight="1" s="42">
      <c r="A45" s="69" t="inlineStr">
        <is>
          <t>Owner Labor</t>
        </is>
      </c>
      <c r="B45" s="69" t="inlineStr">
        <is>
          <t>Baseboard installation (new, full room)</t>
        </is>
      </c>
      <c r="C45" s="70" t="n">
        <v>92</v>
      </c>
      <c r="D45" s="71" t="inlineStr">
        <is>
          <t>LF</t>
        </is>
      </c>
      <c r="E45" s="72" t="n">
        <v>7</v>
      </c>
      <c r="F45" s="72">
        <f>C45*E45</f>
        <v/>
      </c>
      <c r="G45" s="69" t="inlineStr">
        <is>
          <t>Cut, fit, nail, caulk, fill, paint</t>
        </is>
      </c>
    </row>
    <row r="46" ht="15" customHeight="1" s="42">
      <c r="A46" s="69" t="inlineStr">
        <is>
          <t>Owner Labor</t>
        </is>
      </c>
      <c r="B46" s="69" t="inlineStr">
        <is>
          <t>Paint - all walls, prime + 2 coats</t>
        </is>
      </c>
      <c r="C46" s="70" t="n">
        <v>500</v>
      </c>
      <c r="D46" s="71" t="inlineStr">
        <is>
          <t>SF</t>
        </is>
      </c>
      <c r="E46" s="72" t="n">
        <v>1.75</v>
      </c>
      <c r="F46" s="72">
        <f>C46*E46</f>
        <v/>
      </c>
      <c r="G46" s="69" t="inlineStr">
        <is>
          <t>See Pricing Sources tab</t>
        </is>
      </c>
    </row>
    <row r="47" ht="15" customHeight="1" s="42">
      <c r="A47" s="73" t="inlineStr">
        <is>
          <t>&gt;&gt;&gt; SUBCONTRACTOR LABOR</t>
        </is>
      </c>
      <c r="B47" s="67" t="n"/>
      <c r="C47" s="67" t="n"/>
      <c r="D47" s="67" t="n"/>
      <c r="E47" s="67" t="n"/>
      <c r="F47" s="67" t="n"/>
      <c r="G47" s="68" t="n"/>
    </row>
    <row r="48" ht="15" customHeight="1" s="42">
      <c r="A48" s="74" t="inlineStr">
        <is>
          <t>Sub Labor</t>
        </is>
      </c>
      <c r="B48" s="74" t="inlineStr">
        <is>
          <t>Carpet &amp; pad installation (professional)</t>
        </is>
      </c>
      <c r="C48" s="75" t="n">
        <v>223</v>
      </c>
      <c r="D48" s="76" t="inlineStr">
        <is>
          <t>SF</t>
        </is>
      </c>
      <c r="E48" s="77" t="n">
        <v>2</v>
      </c>
      <c r="F48" s="77">
        <f>C48*E48</f>
        <v/>
      </c>
      <c r="G48" s="74" t="inlineStr">
        <is>
          <t>See Pricing Sources tab</t>
        </is>
      </c>
    </row>
    <row r="49" ht="15" customHeight="1" s="42">
      <c r="A49" s="74" t="inlineStr">
        <is>
          <t>Sub Labor</t>
        </is>
      </c>
      <c r="B49" s="74" t="inlineStr">
        <is>
          <t>Concrete crack repair</t>
        </is>
      </c>
      <c r="C49" s="75" t="n">
        <v>30</v>
      </c>
      <c r="D49" s="76" t="inlineStr">
        <is>
          <t>LF</t>
        </is>
      </c>
      <c r="E49" s="77" t="n">
        <v>8</v>
      </c>
      <c r="F49" s="77">
        <f>C49*E49</f>
        <v/>
      </c>
      <c r="G49" s="74" t="inlineStr">
        <is>
          <t>Phase 1</t>
        </is>
      </c>
    </row>
    <row r="50" ht="15" customHeight="1" s="42">
      <c r="A50" s="74" t="inlineStr">
        <is>
          <t>Sub Labor</t>
        </is>
      </c>
      <c r="B50" s="74" t="inlineStr">
        <is>
          <t>Concrete self-leveling application</t>
        </is>
      </c>
      <c r="C50" s="75" t="n">
        <v>223</v>
      </c>
      <c r="D50" s="76" t="inlineStr">
        <is>
          <t>SF</t>
        </is>
      </c>
      <c r="E50" s="77" t="n">
        <v>3.5</v>
      </c>
      <c r="F50" s="77">
        <f>C50*E50</f>
        <v/>
      </c>
      <c r="G50" s="74" t="inlineStr">
        <is>
          <t>Phase 2 if needed</t>
        </is>
      </c>
    </row>
    <row r="51" ht="15" customHeight="1" s="42">
      <c r="A51" s="78" t="inlineStr">
        <is>
          <t>Room Subtotal</t>
        </is>
      </c>
      <c r="B51" s="54" t="n"/>
      <c r="C51" s="54" t="n"/>
      <c r="D51" s="54" t="n"/>
      <c r="E51" s="55" t="n"/>
      <c r="F51" s="79">
        <f>SUM(F8:F49)</f>
        <v/>
      </c>
      <c r="G51" s="80" t="n"/>
    </row>
  </sheetData>
  <mergeCells count="5">
    <mergeCell ref="A1:G1"/>
    <mergeCell ref="A40:G40"/>
    <mergeCell ref="B5:G5"/>
    <mergeCell ref="A51:E51"/>
    <mergeCell ref="A47:G4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2E75B6"/>
    <outlinePr summaryBelow="1" summaryRight="1"/>
    <pageSetUpPr fitToPage="0"/>
  </sheetPr>
  <dimension ref="A1:G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Laundry Room</t>
        </is>
      </c>
    </row>
    <row r="3" ht="15" customHeight="1" s="42">
      <c r="A3" s="44" t="inlineStr">
        <is>
          <t>Room:</t>
        </is>
      </c>
      <c r="B3" s="58" t="inlineStr">
        <is>
          <t>Laundry Room</t>
        </is>
      </c>
    </row>
    <row r="4" ht="15" customHeight="1" s="42">
      <c r="A4" s="44" t="inlineStr">
        <is>
          <t>Dimensions:</t>
        </is>
      </c>
      <c r="B4" s="58" t="inlineStr">
        <is>
          <t>14'7" x 11'7"</t>
        </is>
      </c>
    </row>
    <row r="5" ht="15" customHeight="1" s="42">
      <c r="A5" s="44" t="inlineStr">
        <is>
          <t>Areas of Repair:</t>
        </is>
      </c>
      <c r="B5" s="45" t="inlineStr">
        <is>
          <t>Full room: LVP floor, all walls finished, all baseboard replaced, door &amp; trim, texture &amp; paint all walls</t>
        </is>
      </c>
    </row>
    <row r="6" ht="15" customHeight="1" s="42">
      <c r="A6" s="44" t="inlineStr">
        <is>
          <t>Work Completed:</t>
        </is>
      </c>
      <c r="B6" s="58" t="inlineStr">
        <is>
          <t>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Luxury vinyl plank (waterproof, 5mm+ w/ pad)</t>
        </is>
      </c>
      <c r="C9" s="62" t="n">
        <v>169</v>
      </c>
      <c r="D9" s="63" t="inlineStr">
        <is>
          <t>SF</t>
        </is>
      </c>
      <c r="E9" s="64">
        <f>HYPERLINK("https://www.homedepot.com/p/Lifeproof-Trail-Oak-8-7-in-W-x-47-6-in-L-Luxury-Vinyl-Plank-Flooring-20-06-sq-ft-case-I96715L/300699284",3.79)</f>
        <v/>
      </c>
      <c r="F9" s="65">
        <f>C9*E9</f>
        <v/>
      </c>
      <c r="G9" s="50" t="inlineStr">
        <is>
          <t>AUDIT: SKU 300699284 may now be Sterling Oak; verify product</t>
        </is>
      </c>
    </row>
    <row r="10" ht="15" customHeight="1" s="42">
      <c r="A10" s="50" t="inlineStr">
        <is>
          <t>Flooring</t>
        </is>
      </c>
      <c r="B10" s="50" t="inlineStr">
        <is>
          <t>LVP underlayment - 6mil poly moisture barrier</t>
        </is>
      </c>
      <c r="C10" s="62" t="n">
        <v>169</v>
      </c>
      <c r="D10" s="63" t="inlineStr">
        <is>
          <t>SF</t>
        </is>
      </c>
      <c r="E10" s="64">
        <f>HYPERLINK("https://www.homedepot.com/p/Roberts-6-mil-10-ft-x-25-ft-Polyethylene-Film-Vapor-Barrier-70-115/100564393",0.35)</f>
        <v/>
      </c>
      <c r="F10" s="65">
        <f>C10*E10</f>
        <v/>
      </c>
      <c r="G10" s="50" t="inlineStr">
        <is>
          <t>Over concrete slab; AUDIT: SKU 100564393 may be replaced by 100578718; price may be lower</t>
        </is>
      </c>
    </row>
    <row r="11" ht="15" customHeight="1" s="42">
      <c r="A11" s="50" t="inlineStr">
        <is>
          <t>Flooring</t>
        </is>
      </c>
      <c r="B11" s="50" t="inlineStr">
        <is>
          <t>Transition strips (T-molding)</t>
        </is>
      </c>
      <c r="C11" s="62" t="n">
        <v>2</v>
      </c>
      <c r="D11" s="63" t="inlineStr">
        <is>
          <t>ea</t>
        </is>
      </c>
      <c r="E11" s="64">
        <f>HYPERLINK("https://www.homedepot.com/p/Zamma-Unfinished-Red-Oak-3-4-in-Thick-x-2-in-Wide-x-78-in-Length-Hardwood-T-Molding-01400502078/205721044",14.98)</f>
        <v/>
      </c>
      <c r="F11" s="65">
        <f>C11*E11</f>
        <v/>
      </c>
      <c r="G11" s="50" t="inlineStr">
        <is>
          <t>AUDIT: Zamma T-molding SKU 205721044 may be discontinued</t>
        </is>
      </c>
    </row>
    <row r="12" ht="15" customHeight="1" s="42">
      <c r="A12" s="50" t="inlineStr">
        <is>
          <t>Flooring</t>
        </is>
      </c>
      <c r="B12" s="50" t="inlineStr">
        <is>
          <t>Quarter round / shoe molding (8ft)</t>
        </is>
      </c>
      <c r="C12" s="62" t="n">
        <v>7</v>
      </c>
      <c r="D12" s="63" t="inlineStr">
        <is>
          <t>piece</t>
        </is>
      </c>
      <c r="E12" s="64">
        <f>HYPERLINK("https://www.homedepot.com/p/Woodgrain-Millwork-WM-126-1-2-in-x-3-4-in-x-96-in-Primed-Finger-Jointed-Quarter-Round-Moulding-10001853/206082006",3.98)</f>
        <v/>
      </c>
      <c r="F12" s="65">
        <f>C12*E12</f>
        <v/>
      </c>
      <c r="G12" s="50" t="inlineStr">
        <is>
          <t>AUDIT: Quarter round SKU 206082006 not found in search</t>
        </is>
      </c>
    </row>
    <row r="13" ht="15" customHeight="1" s="42">
      <c r="A13" s="50" t="inlineStr">
        <is>
          <t>Drywall</t>
        </is>
      </c>
      <c r="B13" s="50" t="inlineStr">
        <is>
          <t>1/2" x 4'x8' moisture-resistant drywall (green board)</t>
        </is>
      </c>
      <c r="C13" s="62" t="n">
        <v>10</v>
      </c>
      <c r="D13" s="63" t="inlineStr">
        <is>
          <t>sheet</t>
        </is>
      </c>
      <c r="E13" s="64">
        <f>HYPERLINK("https://www.homedepot.com/p/USG-Sheetrock-Brand-1-2-in-x-4-ft-x-8-ft-UltraLight-Mold-Tough-Drywall-14302111708/203768542",21.48)</f>
        <v/>
      </c>
      <c r="F13" s="65">
        <f>C13*E13</f>
        <v/>
      </c>
      <c r="G13" s="50" t="n"/>
    </row>
    <row r="14" ht="15" customHeight="1" s="42">
      <c r="A14" s="50" t="inlineStr">
        <is>
          <t>Drywall</t>
        </is>
      </c>
      <c r="B14" s="50" t="inlineStr">
        <is>
          <t>Drywall screws 1-1/4" coarse (1 lb)</t>
        </is>
      </c>
      <c r="C14" s="62" t="n">
        <v>3</v>
      </c>
      <c r="D14" s="63" t="inlineStr">
        <is>
          <t>box</t>
        </is>
      </c>
      <c r="E14" s="64">
        <f>HYPERLINK("https://www.homedepot.com/p/Grip-Rite-6-x-1-1-4-in-Philips-Bugle-Head-Coarse-Thread-Sharp-Point-Drywall-Screws-1-lb-Pack-114CDWS1/100153837",6.97)</f>
        <v/>
      </c>
      <c r="F14" s="65">
        <f>C14*E14</f>
        <v/>
      </c>
      <c r="G14" s="50" t="n"/>
    </row>
    <row r="15" ht="15" customHeight="1" s="42">
      <c r="A15" s="50" t="inlineStr">
        <is>
          <t>Drywall</t>
        </is>
      </c>
      <c r="B15" s="50" t="inlineStr">
        <is>
          <t>Paper drywall tape (250 ft)</t>
        </is>
      </c>
      <c r="C15" s="62" t="n">
        <v>3</v>
      </c>
      <c r="D15" s="63" t="inlineStr">
        <is>
          <t>roll</t>
        </is>
      </c>
      <c r="E15" s="64">
        <f>HYPERLINK("https://www.homedepot.com/p/USG-Sheetrock-Brand-2-1-16-in-x-250-ft-Paper-Joint-Tape-382175/100321614",4.88)</f>
        <v/>
      </c>
      <c r="F15" s="65">
        <f>C15*E15</f>
        <v/>
      </c>
      <c r="G15" s="50" t="n"/>
    </row>
    <row r="16" ht="15" customHeight="1" s="42">
      <c r="A16" s="50" t="inlineStr">
        <is>
          <t>Drywall</t>
        </is>
      </c>
      <c r="B16" s="50" t="inlineStr">
        <is>
          <t>All-purpose joint compound (4.5 gal)</t>
        </is>
      </c>
      <c r="C16" s="62" t="n">
        <v>3</v>
      </c>
      <c r="D16" s="63" t="inlineStr">
        <is>
          <t>bucket</t>
        </is>
      </c>
      <c r="E16" s="64">
        <f>HYPERLINK("https://www.homedepot.com/p/USG-Sheetrock-Brand-4-5-Gal-All-Purpose-Pre-Mixed-Joint-Compound-380501/100321602",20.58)</f>
        <v/>
      </c>
      <c r="F16" s="65">
        <f>C16*E16</f>
        <v/>
      </c>
      <c r="G16" s="50" t="n"/>
    </row>
    <row r="17" ht="15" customHeight="1" s="42">
      <c r="A17" s="50" t="inlineStr">
        <is>
          <t>Drywall</t>
        </is>
      </c>
      <c r="B17" s="50" t="inlineStr">
        <is>
          <t>Lightweight finishing compound (4.5 gal)</t>
        </is>
      </c>
      <c r="C17" s="62" t="n">
        <v>1</v>
      </c>
      <c r="D17" s="63" t="inlineStr">
        <is>
          <t>bucket</t>
        </is>
      </c>
      <c r="E17" s="64">
        <f>HYPERLINK("https://www.homedepot.com/p/USG-Sheetrock-Brand-4-5-Gal-Plus-3-Lightweight-All-Purpose-Pre-Mixed-Joint-Compound-381466/100321604",23.68)</f>
        <v/>
      </c>
      <c r="F17" s="65">
        <f>C17*E17</f>
        <v/>
      </c>
      <c r="G17" s="50" t="n"/>
    </row>
    <row r="18" ht="15" customHeight="1" s="42">
      <c r="A18" s="50" t="inlineStr">
        <is>
          <t>Drywall</t>
        </is>
      </c>
      <c r="B18" s="50" t="inlineStr">
        <is>
          <t>Sanding sponge (med/fine)</t>
        </is>
      </c>
      <c r="C18" s="62" t="n">
        <v>3</v>
      </c>
      <c r="D18" s="63" t="inlineStr">
        <is>
          <t>ea</t>
        </is>
      </c>
      <c r="E18" s="64">
        <f>HYPERLINK("https://www.homedepot.com/p/3M-2-7-8-in-x-4-7-8-in-x-1-in-Fine-Medium-Drywall-Sanding-Sponge-9093DCNA/100353968",4.97)</f>
        <v/>
      </c>
      <c r="F18" s="65">
        <f>C18*E18</f>
        <v/>
      </c>
      <c r="G18" s="50" t="n"/>
    </row>
    <row r="19" ht="15" customHeight="1" s="42">
      <c r="A19" s="50" t="inlineStr">
        <is>
          <t>Door/Trim</t>
        </is>
      </c>
      <c r="B19" s="50" t="inlineStr">
        <is>
          <t>Interior door slab - solid core (32")</t>
        </is>
      </c>
      <c r="C19" s="62" t="n">
        <v>1</v>
      </c>
      <c r="D19" s="63" t="inlineStr">
        <is>
          <t>ea</t>
        </is>
      </c>
      <c r="E19" s="64">
        <f>HYPERLINK("https://www.homedepot.com/p/Masonite-32-in-x-80-in-Lincoln-Park-Primed-1-Panel-Solid-Core-Composite-Interior-Door-Slab-10555/204418170",218)</f>
        <v/>
      </c>
      <c r="F19" s="65">
        <f>C19*E19</f>
        <v/>
      </c>
      <c r="G19" s="50" t="inlineStr">
        <is>
          <t>AUDIT: Door slab SKU 204418170 may be replaced by 302895972</t>
        </is>
      </c>
    </row>
    <row r="20" ht="15" customHeight="1" s="42">
      <c r="A20" s="50" t="inlineStr">
        <is>
          <t>Door/Trim</t>
        </is>
      </c>
      <c r="B20" s="50" t="inlineStr">
        <is>
          <t>Door casing set - colonial (3-piece)</t>
        </is>
      </c>
      <c r="C20" s="62" t="n">
        <v>1</v>
      </c>
      <c r="D20" s="63" t="inlineStr">
        <is>
          <t>set</t>
        </is>
      </c>
      <c r="E20" s="64">
        <f>HYPERLINK("https://www.homedepot.com/p/Alexandria-Moulding-2-3-4-in-x-6-7-8-in-x-84-in-Primed-MDF-Door-Casing-Kit-02004-93084C/309671432",42.98)</f>
        <v/>
      </c>
      <c r="F20" s="65">
        <f>C20*E20</f>
        <v/>
      </c>
      <c r="G20" s="50" t="inlineStr">
        <is>
          <t>AUDIT: Door casing SKU 309671432 not found in search</t>
        </is>
      </c>
    </row>
    <row r="21" ht="15" customHeight="1" s="42">
      <c r="A21" s="50" t="inlineStr">
        <is>
          <t>Door/Trim</t>
        </is>
      </c>
      <c r="B21" s="50" t="inlineStr">
        <is>
          <t>Door hardware - passage knob (satin nickel)</t>
        </is>
      </c>
      <c r="C21" s="62" t="n">
        <v>1</v>
      </c>
      <c r="D21" s="63" t="inlineStr">
        <is>
          <t>ea</t>
        </is>
      </c>
      <c r="E21" s="64">
        <f>HYPERLINK("https://www.homedepot.com/p/Kwikset-Juno-Satin-Nickel-Passage-Hall-Closet-Door-Knob-720J-15-6AL-RCS/100689825",29.98)</f>
        <v/>
      </c>
      <c r="F21" s="65">
        <f>C21*E21</f>
        <v/>
      </c>
      <c r="G21" s="50" t="inlineStr">
        <is>
          <t>AUDIT: Kwikset SKU 100689825 may be replaced by 205176758</t>
        </is>
      </c>
    </row>
    <row r="22" ht="15" customHeight="1" s="42">
      <c r="A22" s="50" t="inlineStr">
        <is>
          <t>Door/Trim</t>
        </is>
      </c>
      <c r="B22" s="50" t="inlineStr">
        <is>
          <t>Door hinges (3-pack, satin nickel)</t>
        </is>
      </c>
      <c r="C22" s="62" t="n">
        <v>1</v>
      </c>
      <c r="D22" s="63" t="inlineStr">
        <is>
          <t>pack</t>
        </is>
      </c>
      <c r="E22" s="64">
        <f>HYPERLINK("https://www.homedepot.com/p/Everbilt-3-Pack-3-1-2-in-x-5-8-in-Radius-Satin-Nickel-Security-Butt-Door-Hinge-Value-Pack-14874/202818703",10.98)</f>
        <v/>
      </c>
      <c r="F22" s="65">
        <f>C22*E22</f>
        <v/>
      </c>
      <c r="G22" s="50" t="n"/>
    </row>
    <row r="23" ht="15" customHeight="1" s="42">
      <c r="A23" s="50" t="inlineStr">
        <is>
          <t>Door/Trim</t>
        </is>
      </c>
      <c r="B23" s="50" t="inlineStr">
        <is>
          <t>Spring door stop (satin nickel)</t>
        </is>
      </c>
      <c r="C23" s="62" t="n">
        <v>1</v>
      </c>
      <c r="D23" s="63" t="inlineStr">
        <is>
          <t>ea</t>
        </is>
      </c>
      <c r="E23" s="64">
        <f>HYPERLINK("https://www.homedepot.com/p/Everbilt-Rigid-Door-Stop-in-Satin-Nickel-15578/202033984",4.98)</f>
        <v/>
      </c>
      <c r="F23" s="65">
        <f>C23*E23</f>
        <v/>
      </c>
      <c r="G23" s="50" t="n"/>
    </row>
    <row r="24" ht="15" customHeight="1" s="42">
      <c r="A24" s="50" t="inlineStr">
        <is>
          <t>Trim</t>
        </is>
      </c>
      <c r="B24" s="50" t="inlineStr">
        <is>
          <t>Baseboard - 3-1/4" MDF primed (8ft)</t>
        </is>
      </c>
      <c r="C24" s="62" t="n">
        <v>7</v>
      </c>
      <c r="D24" s="63" t="inlineStr">
        <is>
          <t>piece</t>
        </is>
      </c>
      <c r="E24" s="64">
        <f>HYPERLINK("https://www.homedepot.com/p/Woodgrain-Millwork-623-1-2-in-x-3-1-4-in-x-96-in-Primed-MDF-Baseboard-Moulding-1-Piece-8-Total-Linear-Feet-10001007/203209370",6.51)</f>
        <v/>
      </c>
      <c r="F24" s="65">
        <f>C24*E24</f>
        <v/>
      </c>
      <c r="G24" s="50" t="inlineStr">
        <is>
          <t>~49 LF full perimeter</t>
        </is>
      </c>
    </row>
    <row r="25" ht="15" customHeight="1" s="42">
      <c r="A25" s="50" t="inlineStr">
        <is>
          <t>Trim</t>
        </is>
      </c>
      <c r="B25" s="50" t="inlineStr">
        <is>
          <t>Plinth blocks (MDF primed)</t>
        </is>
      </c>
      <c r="C25" s="62" t="n">
        <v>6</v>
      </c>
      <c r="D25" s="63" t="inlineStr">
        <is>
          <t>ea</t>
        </is>
      </c>
      <c r="E25" s="64">
        <f>HYPERLINK("https://www.homedepot.com/p/House-of-Fara-3-4-in-x-3-1-4-in-x-3-1-4-in-MDF-Primed-Plinth-Block-8621/205426918",3.98)</f>
        <v/>
      </c>
      <c r="F25" s="65">
        <f>C25*E25</f>
        <v/>
      </c>
      <c r="G25" s="50" t="n"/>
    </row>
    <row r="26" ht="15" customHeight="1" s="42">
      <c r="A26" s="50" t="inlineStr">
        <is>
          <t>Trim</t>
        </is>
      </c>
      <c r="B26" s="50" t="inlineStr">
        <is>
          <t>18ga 2" brad nails (1000ct)</t>
        </is>
      </c>
      <c r="C26" s="62" t="n">
        <v>1</v>
      </c>
      <c r="D26" s="63" t="inlineStr">
        <is>
          <t>box</t>
        </is>
      </c>
      <c r="E26" s="64">
        <f>HYPERLINK("https://www.homedepot.com/p/Grip-Rite-2-in-18-Gauge-Brad-Nails-1000-Pack-GRF18200/202308594",7.98)</f>
        <v/>
      </c>
      <c r="F26" s="65">
        <f>C26*E26</f>
        <v/>
      </c>
      <c r="G26" s="50" t="n"/>
    </row>
    <row r="27" ht="15" customHeight="1" s="42">
      <c r="A27" s="50" t="inlineStr">
        <is>
          <t>Trim</t>
        </is>
      </c>
      <c r="B27" s="50" t="inlineStr">
        <is>
          <t>Paintable latex caulk</t>
        </is>
      </c>
      <c r="C27" s="62" t="n">
        <v>2</v>
      </c>
      <c r="D27" s="63" t="inlineStr">
        <is>
          <t>tube</t>
        </is>
      </c>
      <c r="E27" s="64">
        <f>HYPERLINK("https://www.homedepot.com/p/DAP-Alex-Plus-10-1-oz-White-Acrylic-Latex-Caulk-Plus-Silicone-18103/100097524",3.98)</f>
        <v/>
      </c>
      <c r="F27" s="65">
        <f>C27*E27</f>
        <v/>
      </c>
      <c r="G27" s="50" t="n"/>
    </row>
    <row r="28" ht="15" customHeight="1" s="42">
      <c r="A28" s="50" t="inlineStr">
        <is>
          <t>Trim</t>
        </is>
      </c>
      <c r="B28" s="50" t="inlineStr">
        <is>
          <t>Wood filler / spackle</t>
        </is>
      </c>
      <c r="C28" s="62" t="n">
        <v>1</v>
      </c>
      <c r="D28" s="63" t="inlineStr">
        <is>
          <t>tube</t>
        </is>
      </c>
      <c r="E28" s="64">
        <f>HYPERLINK("https://www.homedepot.com/p/DAP-Plastic-Wood-X-with-DryDex-5-5-oz-All-Purpose-Wood-Filler-00540/206667344",7.98)</f>
        <v/>
      </c>
      <c r="F28" s="65">
        <f>C28*E28</f>
        <v/>
      </c>
      <c r="G28" s="50" t="n"/>
    </row>
    <row r="29" ht="15" customHeight="1" s="42">
      <c r="A29" s="50" t="inlineStr">
        <is>
          <t>Texture</t>
        </is>
      </c>
      <c r="B29" s="50" t="inlineStr">
        <is>
          <t>Spray texture - orange peel (20oz)</t>
        </is>
      </c>
      <c r="C29" s="62" t="n">
        <v>5</v>
      </c>
      <c r="D29" s="63" t="inlineStr">
        <is>
          <t>can</t>
        </is>
      </c>
      <c r="E29" s="64">
        <f>HYPERLINK("https://www.homedepot.com/p/Homax-20-oz-Wall-Orange-Peel-Low-Odor-Water-Based-Texture-Spray-Paint-4092-06/100154309",16.98)</f>
        <v/>
      </c>
      <c r="F29" s="65">
        <f>C29*E29</f>
        <v/>
      </c>
      <c r="G29" s="50" t="inlineStr">
        <is>
          <t>Match existing</t>
        </is>
      </c>
    </row>
    <row r="30" ht="15" customHeight="1" s="42">
      <c r="A30" s="50" t="inlineStr">
        <is>
          <t>Paint</t>
        </is>
      </c>
      <c r="B30" s="50" t="inlineStr">
        <is>
          <t>Zinsser Mold Killing Primer (1 gal)</t>
        </is>
      </c>
      <c r="C30" s="62" t="n">
        <v>2</v>
      </c>
      <c r="D30" s="63" t="inlineStr">
        <is>
          <t>gal</t>
        </is>
      </c>
      <c r="E30" s="64">
        <f>HYPERLINK("https://www.homedepot.com/p/Zinsser-Mold-Killing-1-Gal-White-Water-Based-Interior-Exterior-Primer-276049/202520508",45.98)</f>
        <v/>
      </c>
      <c r="F30" s="65">
        <f>C30*E30</f>
        <v/>
      </c>
      <c r="G30" s="50" t="inlineStr">
        <is>
          <t>All walls</t>
        </is>
      </c>
    </row>
    <row r="31" ht="15" customHeight="1" s="42">
      <c r="A31" s="50" t="inlineStr">
        <is>
          <t>Paint</t>
        </is>
      </c>
      <c r="B31" s="50" t="inlineStr">
        <is>
          <t>BEHR Marquee interior paint - eggshell (1 gal)</t>
        </is>
      </c>
      <c r="C31" s="62" t="n">
        <v>2</v>
      </c>
      <c r="D31" s="63" t="inlineStr">
        <is>
          <t>gal</t>
        </is>
      </c>
      <c r="E31" s="64">
        <f>HYPERLINK("https://www.homedepot.com/p/BEHR-MARQUEE-1-gal-Ultra-Pure-White-Eggshell-Enamel-Interior-Paint-Primer-245001/204747490",54.98)</f>
        <v/>
      </c>
      <c r="F31" s="65">
        <f>C31*E31</f>
        <v/>
      </c>
      <c r="G31" s="50" t="inlineStr">
        <is>
          <t>All walls, 2 coats (~420 SF)</t>
        </is>
      </c>
    </row>
    <row r="32" ht="15" customHeight="1" s="42">
      <c r="A32" s="50" t="inlineStr">
        <is>
          <t>Paint</t>
        </is>
      </c>
      <c r="B32" s="50" t="inlineStr">
        <is>
          <t>BEHR Marquee semi-gloss trim paint (1 qt)</t>
        </is>
      </c>
      <c r="C32" s="62" t="n">
        <v>1</v>
      </c>
      <c r="D32" s="63" t="inlineStr">
        <is>
          <t>qt</t>
        </is>
      </c>
      <c r="E32" s="64">
        <f>HYPERLINK("https://www.homedepot.com/p/BEHR-MARQUEE-1-qt-Ultra-Pure-White-Semi-Gloss-Enamel-Interior-Paint-Primer-345004/204747525",23.98)</f>
        <v/>
      </c>
      <c r="F32" s="65">
        <f>C32*E32</f>
        <v/>
      </c>
      <c r="G32" s="50" t="inlineStr">
        <is>
          <t>Baseboard &amp; trim</t>
        </is>
      </c>
    </row>
    <row r="33" ht="15" customHeight="1" s="42">
      <c r="A33" s="50" t="inlineStr">
        <is>
          <t>Paint</t>
        </is>
      </c>
      <c r="B33" s="50" t="inlineStr">
        <is>
          <t>Paint roller covers 3/8" nap (3-pack)</t>
        </is>
      </c>
      <c r="C33" s="62" t="n">
        <v>2</v>
      </c>
      <c r="D33" s="63" t="inlineStr">
        <is>
          <t>pack</t>
        </is>
      </c>
      <c r="E33" s="64">
        <f>HYPERLINK("https://www.homedepot.com/p/Wooster-9-in-x-3-8-in-Pro-American-Contractor-High-Density-Knit-Roller-Cover-3-Pack-0-RC660-9/205625717",11.97)</f>
        <v/>
      </c>
      <c r="F33" s="65">
        <f>C33*E33</f>
        <v/>
      </c>
      <c r="G33" s="50" t="inlineStr">
        <is>
          <t>AUDIT: Roller covers SKU may be superseded</t>
        </is>
      </c>
    </row>
    <row r="34" ht="15" customHeight="1" s="42">
      <c r="A34" s="50" t="inlineStr">
        <is>
          <t>Paint</t>
        </is>
      </c>
      <c r="B34" s="50" t="inlineStr">
        <is>
          <t>Roller frame &amp; extension pole</t>
        </is>
      </c>
      <c r="C34" s="62" t="n">
        <v>1</v>
      </c>
      <c r="D34" s="63" t="inlineStr">
        <is>
          <t>ea</t>
        </is>
      </c>
      <c r="E34" s="64">
        <f>HYPERLINK("https://www.homedepot.com/p/Wooster-9-in-Sherlock-Frame-with-Jumbo-Koter-Cage-and-4-ft-to-8-ft-Sherlock-Extension-Pole-0R0170000/300697399",16.98)</f>
        <v/>
      </c>
      <c r="F34" s="65">
        <f>C34*E34</f>
        <v/>
      </c>
      <c r="G34" s="50" t="inlineStr">
        <is>
          <t>AUDIT: Roller frame SKU may be discontinued</t>
        </is>
      </c>
    </row>
    <row r="35" ht="15" customHeight="1" s="42">
      <c r="A35" s="50" t="inlineStr">
        <is>
          <t>Paint</t>
        </is>
      </c>
      <c r="B35" s="50" t="inlineStr">
        <is>
          <t>Paint tray &amp; liners</t>
        </is>
      </c>
      <c r="C35" s="62" t="n">
        <v>1</v>
      </c>
      <c r="D35" s="63" t="inlineStr">
        <is>
          <t>set</t>
        </is>
      </c>
      <c r="E35" s="64">
        <f>HYPERLINK("https://www.homedepot.com/p/HDX-9-in-Paint-Tray-Set-3-Piece-HD-RM-333/205879558",9.97)</f>
        <v/>
      </c>
      <c r="F35" s="65">
        <f>C35*E35</f>
        <v/>
      </c>
      <c r="G35" s="50" t="inlineStr">
        <is>
          <t>AUDIT: Paint tray SKU may be discontinued</t>
        </is>
      </c>
    </row>
    <row r="36" ht="15" customHeight="1" s="42">
      <c r="A36" s="50" t="inlineStr">
        <is>
          <t>Paint</t>
        </is>
      </c>
      <c r="B36" s="50" t="inlineStr">
        <is>
          <t>Angled sash brush 2.5"</t>
        </is>
      </c>
      <c r="C36" s="62" t="n">
        <v>2</v>
      </c>
      <c r="D36" s="63" t="inlineStr">
        <is>
          <t>ea</t>
        </is>
      </c>
      <c r="E36" s="64">
        <f>HYPERLINK("https://www.homedepot.com/p/Wooster-2-1-2-in-Pro-Nylon-Polyester-Angle-Sash-Brush-0H21170024/100168988",8.98)</f>
        <v/>
      </c>
      <c r="F36" s="65">
        <f>C36*E36</f>
        <v/>
      </c>
      <c r="G36" s="50" t="inlineStr">
        <is>
          <t>AUDIT: Sash brush SKU may be discontinued</t>
        </is>
      </c>
    </row>
    <row r="37" ht="15" customHeight="1" s="42">
      <c r="A37" s="50" t="inlineStr">
        <is>
          <t>Paint</t>
        </is>
      </c>
      <c r="B37" s="50" t="inlineStr">
        <is>
          <t>Painters tape (1.88" x 60yd)</t>
        </is>
      </c>
      <c r="C37" s="62" t="n">
        <v>3</v>
      </c>
      <c r="D37" s="63" t="inlineStr">
        <is>
          <t>roll</t>
        </is>
      </c>
      <c r="E37" s="64">
        <f>HYPERLINK("https://www.homedepot.com/p/ScotchBlue-1-88-in-x-60-yds-Sharp-Lines-Multi-Surface-Painters-Tape-2090-48TC/305375312",7.98)</f>
        <v/>
      </c>
      <c r="F37" s="65">
        <f>C37*E37</f>
        <v/>
      </c>
      <c r="G37" s="50" t="inlineStr">
        <is>
          <t>AUDIT: ScotchBlue tape may be rebranded PROSharp</t>
        </is>
      </c>
    </row>
    <row r="38" ht="15" customHeight="1" s="42">
      <c r="A38" s="50" t="inlineStr">
        <is>
          <t>Paint</t>
        </is>
      </c>
      <c r="B38" s="50" t="inlineStr">
        <is>
          <t>Paint supplies (rollers, brushes, tape, tray)</t>
        </is>
      </c>
      <c r="C38" s="62" t="n">
        <v>1</v>
      </c>
      <c r="D38" s="63" t="inlineStr">
        <is>
          <t>kit</t>
        </is>
      </c>
      <c r="E38" s="64">
        <f>HYPERLINK("https://www.homedepot.com/p/Wooster-9-in-Sherlock-Frame-with-Jumbo-Koter-Cage-and-4-ft-to-8-ft-Sherlock-Extension-Pole-0R0170000/300697399",39.98)</f>
        <v/>
      </c>
      <c r="F38" s="65">
        <f>C38*E38</f>
        <v/>
      </c>
      <c r="G38" s="50" t="inlineStr">
        <is>
          <t>AUDIT: URL is roller frame, not paint supply kit; verify</t>
        </is>
      </c>
    </row>
    <row r="39" ht="15" customHeight="1" s="42">
      <c r="A39" s="50" t="inlineStr">
        <is>
          <t>Supplies</t>
        </is>
      </c>
      <c r="B39" s="50" t="inlineStr">
        <is>
          <t>Plastic sheeting / drop cloths</t>
        </is>
      </c>
      <c r="C39" s="62" t="n">
        <v>2</v>
      </c>
      <c r="D39" s="63" t="inlineStr">
        <is>
          <t>pack</t>
        </is>
      </c>
      <c r="E39" s="64">
        <f>HYPERLINK("https://www.homedepot.com/p/HDX-9-ft-x-12-ft-0-7-mil-Drop-Cloth-2-Pack-DCHD-07-2/202528629",6.98)</f>
        <v/>
      </c>
      <c r="F39" s="65">
        <f>C39*E39</f>
        <v/>
      </c>
      <c r="G39" s="50" t="inlineStr">
        <is>
          <t>AUDIT: Drop cloth SKU not found in search</t>
        </is>
      </c>
    </row>
    <row r="40" ht="15" customHeight="1" s="42">
      <c r="A40" s="50" t="inlineStr">
        <is>
          <t>Supplies</t>
        </is>
      </c>
      <c r="B40" s="50" t="inlineStr">
        <is>
          <t>Disposal / debris hauling</t>
        </is>
      </c>
      <c r="C40" s="62" t="n">
        <v>1</v>
      </c>
      <c r="D40" s="63" t="inlineStr">
        <is>
          <t>flat</t>
        </is>
      </c>
      <c r="E40" s="65" t="n">
        <v>100</v>
      </c>
      <c r="F40" s="65">
        <f>C40*E40</f>
        <v/>
      </c>
      <c r="G40" s="50" t="inlineStr">
        <is>
          <t>Old materials removal</t>
        </is>
      </c>
    </row>
    <row r="41" ht="15" customHeight="1" s="42">
      <c r="A41" s="66" t="inlineStr">
        <is>
          <t>&gt;&gt;&gt; OWNER-PERFORMED LABOR (valued at contractor equivalent rates)</t>
        </is>
      </c>
      <c r="B41" s="67" t="n"/>
      <c r="C41" s="67" t="n"/>
      <c r="D41" s="67" t="n"/>
      <c r="E41" s="67" t="n"/>
      <c r="F41" s="67" t="n"/>
      <c r="G41" s="68" t="n"/>
    </row>
    <row r="42" ht="15" customHeight="1" s="42">
      <c r="A42" s="69" t="inlineStr">
        <is>
          <t>Owner Labor</t>
        </is>
      </c>
      <c r="B42" s="69" t="inlineStr">
        <is>
          <t>LVP flooring installation</t>
        </is>
      </c>
      <c r="C42" s="70" t="n">
        <v>169</v>
      </c>
      <c r="D42" s="71" t="inlineStr">
        <is>
          <t>SF</t>
        </is>
      </c>
      <c r="E42" s="72" t="n">
        <v>3</v>
      </c>
      <c r="F42" s="72">
        <f>C42*E42</f>
        <v/>
      </c>
      <c r="G42" s="69" t="inlineStr">
        <is>
          <t>Incl subfloor prep, underlayment</t>
        </is>
      </c>
    </row>
    <row r="43" ht="15" customHeight="1" s="42">
      <c r="A43" s="69" t="inlineStr">
        <is>
          <t>Owner Labor</t>
        </is>
      </c>
      <c r="B43" s="69" t="inlineStr">
        <is>
          <t>Drywall - hang, tape, mud, sand (Level 4)</t>
        </is>
      </c>
      <c r="C43" s="70" t="n">
        <v>320</v>
      </c>
      <c r="D43" s="71" t="inlineStr">
        <is>
          <t>SF</t>
        </is>
      </c>
      <c r="E43" s="72" t="n">
        <v>2.75</v>
      </c>
      <c r="F43" s="72">
        <f>C43*E43</f>
        <v/>
      </c>
      <c r="G43" s="69" t="inlineStr">
        <is>
          <t>See Pricing Sources tab</t>
        </is>
      </c>
    </row>
    <row r="44" ht="15" customHeight="1" s="42">
      <c r="A44" s="69" t="inlineStr">
        <is>
          <t>Owner Labor</t>
        </is>
      </c>
      <c r="B44" s="69" t="inlineStr">
        <is>
          <t>Texture application</t>
        </is>
      </c>
      <c r="C44" s="70" t="n">
        <v>320</v>
      </c>
      <c r="D44" s="71" t="inlineStr">
        <is>
          <t>SF</t>
        </is>
      </c>
      <c r="E44" s="72" t="n">
        <v>1.5</v>
      </c>
      <c r="F44" s="72">
        <f>C44*E44</f>
        <v/>
      </c>
      <c r="G44" s="69" t="inlineStr">
        <is>
          <t>See Pricing Sources tab</t>
        </is>
      </c>
    </row>
    <row r="45" ht="15" customHeight="1" s="42">
      <c r="A45" s="69" t="inlineStr">
        <is>
          <t>Owner Labor</t>
        </is>
      </c>
      <c r="B45" s="69" t="inlineStr">
        <is>
          <t>Door &amp; trim installation</t>
        </is>
      </c>
      <c r="C45" s="70" t="n">
        <v>1</v>
      </c>
      <c r="D45" s="71" t="inlineStr">
        <is>
          <t>ea</t>
        </is>
      </c>
      <c r="E45" s="72" t="n">
        <v>325</v>
      </c>
      <c r="F45" s="72">
        <f>C45*E45</f>
        <v/>
      </c>
      <c r="G45" s="69" t="inlineStr">
        <is>
          <t>Hang door, install casing, hardware</t>
        </is>
      </c>
    </row>
    <row r="46" ht="15" customHeight="1" s="42">
      <c r="A46" s="69" t="inlineStr">
        <is>
          <t>Owner Labor</t>
        </is>
      </c>
      <c r="B46" s="69" t="inlineStr">
        <is>
          <t>Baseboard removal &amp; installation (full room)</t>
        </is>
      </c>
      <c r="C46" s="70" t="n">
        <v>49</v>
      </c>
      <c r="D46" s="71" t="inlineStr">
        <is>
          <t>LF</t>
        </is>
      </c>
      <c r="E46" s="72" t="n">
        <v>8.25</v>
      </c>
      <c r="F46" s="72">
        <f>C46*E46</f>
        <v/>
      </c>
      <c r="G46" s="69" t="inlineStr">
        <is>
          <t>See Pricing Sources tab</t>
        </is>
      </c>
    </row>
    <row r="47" ht="15" customHeight="1" s="42">
      <c r="A47" s="69" t="inlineStr">
        <is>
          <t>Owner Labor</t>
        </is>
      </c>
      <c r="B47" s="69" t="inlineStr">
        <is>
          <t>Paint - all walls + trim, prime + 2 coats</t>
        </is>
      </c>
      <c r="C47" s="70" t="n">
        <v>420</v>
      </c>
      <c r="D47" s="71" t="inlineStr">
        <is>
          <t>SF</t>
        </is>
      </c>
      <c r="E47" s="72" t="n">
        <v>1.75</v>
      </c>
      <c r="F47" s="72">
        <f>C47*E47</f>
        <v/>
      </c>
      <c r="G47" s="69" t="inlineStr">
        <is>
          <t>See Pricing Sources tab</t>
        </is>
      </c>
    </row>
    <row r="48" ht="15" customHeight="1" s="42">
      <c r="A48" s="78" t="inlineStr">
        <is>
          <t>Room Subtotal</t>
        </is>
      </c>
      <c r="B48" s="54" t="n"/>
      <c r="C48" s="54" t="n"/>
      <c r="D48" s="54" t="n"/>
      <c r="E48" s="55" t="n"/>
      <c r="F48" s="79">
        <f>SUM(F9:F47)</f>
        <v/>
      </c>
      <c r="G48" s="80" t="n"/>
    </row>
  </sheetData>
  <mergeCells count="4">
    <mergeCell ref="B5:G5"/>
    <mergeCell ref="A41:G41"/>
    <mergeCell ref="A1:G1"/>
    <mergeCell ref="A48:E48"/>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tabColor rgb="FF2E75B6"/>
    <outlinePr summaryBelow="1" summaryRight="1"/>
    <pageSetUpPr fitToPage="0"/>
  </sheetPr>
  <dimension ref="A1:G6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Downstairs Bathroom</t>
        </is>
      </c>
    </row>
    <row r="3" ht="15" customHeight="1" s="42">
      <c r="A3" s="44" t="inlineStr">
        <is>
          <t>Room:</t>
        </is>
      </c>
      <c r="B3" s="58" t="inlineStr">
        <is>
          <t>Downstairs Bathroom</t>
        </is>
      </c>
    </row>
    <row r="4" ht="15" customHeight="1" s="42">
      <c r="A4" s="44" t="inlineStr">
        <is>
          <t>Dimensions:</t>
        </is>
      </c>
      <c r="B4" s="58" t="inlineStr">
        <is>
          <t>6'9" x 7'</t>
        </is>
      </c>
    </row>
    <row r="5" ht="23.25" customHeight="1" s="42">
      <c r="A5" s="44" t="inlineStr">
        <is>
          <t>Areas of Repair:</t>
        </is>
      </c>
      <c r="B5" s="45" t="inlineStr">
        <is>
          <t>Full room: DreamLine shower system (2'7"x4'1"), tile surround (4ft high), vanity &amp; sink hookup (3'x1'8"), vinyl floor, door &amp; trim, skim coat, all baseboard, all walls painted</t>
        </is>
      </c>
    </row>
    <row r="6" ht="15" customHeight="1" s="42">
      <c r="A6" s="44" t="inlineStr">
        <is>
          <t>Work Completed:</t>
        </is>
      </c>
      <c r="B6" s="58" t="inlineStr">
        <is>
          <t>Demo done, wet material removed, mold treated, drywall replaced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Luxury vinyl plank/tile (waterproof, bathroom)</t>
        </is>
      </c>
      <c r="C9" s="62" t="n">
        <v>47</v>
      </c>
      <c r="D9" s="63" t="inlineStr">
        <is>
          <t>SF</t>
        </is>
      </c>
      <c r="E9" s="64">
        <f>HYPERLINK("https://www.homedepot.com/p/Lifeproof-Trail-Oak-8-7-in-W-x-47-6-in-L-Luxury-Vinyl-Plank-Flooring-20-06-sq-ft-case-I96715L/300699284",3.79)</f>
        <v/>
      </c>
      <c r="F9" s="65">
        <f>C9*E9</f>
        <v/>
      </c>
      <c r="G9" s="50" t="inlineStr">
        <is>
          <t>AUDIT: SKU 300699284 may now be Sterling Oak; verify product</t>
        </is>
      </c>
    </row>
    <row r="10" ht="15" customHeight="1" s="42">
      <c r="A10" s="50" t="inlineStr">
        <is>
          <t>Flooring</t>
        </is>
      </c>
      <c r="B10" s="50" t="inlineStr">
        <is>
          <t>Vinyl adhesive / underlayment</t>
        </is>
      </c>
      <c r="C10" s="62" t="n">
        <v>47</v>
      </c>
      <c r="D10" s="63" t="inlineStr">
        <is>
          <t>SF</t>
        </is>
      </c>
      <c r="E10" s="64">
        <f>HYPERLINK("https://www.homedepot.com/p/Roberts-6-mil-10-ft-x-25-ft-Polyethylene-Film-Vapor-Barrier-70-115/100564393",0.35)</f>
        <v/>
      </c>
      <c r="F10" s="65">
        <f>C10*E10</f>
        <v/>
      </c>
      <c r="G10" s="50" t="n"/>
    </row>
    <row r="11" ht="15" customHeight="1" s="42">
      <c r="A11" s="50" t="inlineStr">
        <is>
          <t>Flooring</t>
        </is>
      </c>
      <c r="B11" s="50" t="inlineStr">
        <is>
          <t>Transition strip</t>
        </is>
      </c>
      <c r="C11" s="62" t="n">
        <v>1</v>
      </c>
      <c r="D11" s="63" t="inlineStr">
        <is>
          <t>ea</t>
        </is>
      </c>
      <c r="E11" s="64">
        <f>HYPERLINK("https://www.homedepot.com/p/Zamma-Unfinished-Red-Oak-3-4-in-Thick-x-2-in-Wide-x-78-in-Length-Hardwood-T-Molding-01400502078/205721044",14.98)</f>
        <v/>
      </c>
      <c r="F11" s="65">
        <f>C11*E11</f>
        <v/>
      </c>
      <c r="G11" s="50" t="n"/>
    </row>
    <row r="12" ht="15" customHeight="1" s="42">
      <c r="A12" s="50" t="inlineStr">
        <is>
          <t>Shower System</t>
        </is>
      </c>
      <c r="B12" s="50" t="inlineStr">
        <is>
          <t>DreamLine DreamStone alcove kit (34"x54"x84" base + walls, Modern White)</t>
        </is>
      </c>
      <c r="C12" s="62" t="n">
        <v>1</v>
      </c>
      <c r="D12" s="63" t="inlineStr">
        <is>
          <t>ea</t>
        </is>
      </c>
      <c r="E12" s="64">
        <f>HYPERLINK("https://www.homedepot.com/p/DreamLine-DreamStone-34-in-L-x-54-in-W-x-84-in-H-Alcove-Shower-Kit-with-Shower-Wall-and-Shower-Pan-in-Modern-White-BWDS54341MC0001/319836218",3149.18)</f>
        <v/>
      </c>
      <c r="F12" s="65">
        <f>C12*E12</f>
        <v/>
      </c>
      <c r="G12" s="50" t="inlineStr">
        <is>
          <t>Premium solid surface, mold/chip/crack resistant, slip-resistant. Door separate if needed.</t>
        </is>
      </c>
    </row>
    <row r="13" ht="15" customHeight="1" s="42">
      <c r="A13" s="50" t="inlineStr">
        <is>
          <t>Shower System</t>
        </is>
      </c>
      <c r="B13" s="50" t="inlineStr">
        <is>
          <t>Shower trim kit (showerhead, handle, flange)</t>
        </is>
      </c>
      <c r="C13" s="62" t="n">
        <v>1</v>
      </c>
      <c r="D13" s="63" t="inlineStr">
        <is>
          <t>set</t>
        </is>
      </c>
      <c r="E13" s="64">
        <f>HYPERLINK("https://www.homedepot.com/p/MOEN-Adler-Single-Handle-1-Spray-Tub-and-Shower-Faucet-in-Brushed-Nickel-Valve-Included-82604SRN/312295481",109)</f>
        <v/>
      </c>
      <c r="F13" s="65">
        <f>C13*E13</f>
        <v/>
      </c>
      <c r="G13" s="50" t="inlineStr">
        <is>
          <t>Coordinated brushed nickel</t>
        </is>
      </c>
    </row>
    <row r="14" ht="15" customHeight="1" s="42">
      <c r="A14" s="50" t="inlineStr">
        <is>
          <t>Shower System</t>
        </is>
      </c>
      <c r="B14" s="50" t="inlineStr">
        <is>
          <t>Shower arm &amp; flange</t>
        </is>
      </c>
      <c r="C14" s="62" t="n">
        <v>1</v>
      </c>
      <c r="D14" s="63" t="inlineStr">
        <is>
          <t>ea</t>
        </is>
      </c>
      <c r="E14" s="64">
        <f>HYPERLINK("https://www.homedepot.com/p/Glacier-Bay-6-in-Shower-Arm-and-Flange-in-Brushed-Nickel-3075-502/204511172",14.98)</f>
        <v/>
      </c>
      <c r="F14" s="65">
        <f>C14*E14</f>
        <v/>
      </c>
      <c r="G14" s="50" t="n"/>
    </row>
    <row r="15" ht="15" customHeight="1" s="42">
      <c r="A15" s="50" t="inlineStr">
        <is>
          <t>Shower System</t>
        </is>
      </c>
      <c r="B15" s="50" t="inlineStr">
        <is>
          <t>Silicone caulk - bath (clear + white)</t>
        </is>
      </c>
      <c r="C15" s="62" t="n">
        <v>3</v>
      </c>
      <c r="D15" s="63" t="inlineStr">
        <is>
          <t>tube</t>
        </is>
      </c>
      <c r="E15" s="64">
        <f>HYPERLINK("https://www.homedepot.com/p/DAP-Kwik-Seal-Plus-10-1-oz-White-Kitchen-and-Bath-Adhesive-Caulk-18510/100634364",7.98)</f>
        <v/>
      </c>
      <c r="F15" s="65">
        <f>C15*E15</f>
        <v/>
      </c>
      <c r="G15" s="50" t="inlineStr">
        <is>
          <t>System seams &amp; perimeter; AUDIT: URL may be Kwik Seal (18032) not Kwik Seal Plus (18510); verify SKU</t>
        </is>
      </c>
    </row>
    <row r="16" ht="15" customHeight="1" s="42">
      <c r="A16" s="50" t="inlineStr">
        <is>
          <t>Shower System</t>
        </is>
      </c>
      <c r="B16" s="50" t="inlineStr">
        <is>
          <t>Panel adhesive (per DreamLine specs)</t>
        </is>
      </c>
      <c r="C16" s="62" t="n">
        <v>2</v>
      </c>
      <c r="D16" s="63" t="inlineStr">
        <is>
          <t>tube</t>
        </is>
      </c>
      <c r="E16" s="64">
        <f>HYPERLINK("https://www.homedepot.com/p/Loctite-Power-Grab-Express-9-fl-oz-All-Purpose-Construction-Adhesive-2029846/206736498",7.98)</f>
        <v/>
      </c>
      <c r="F16" s="65">
        <f>C16*E16</f>
        <v/>
      </c>
      <c r="G16" s="50" t="inlineStr">
        <is>
          <t>AUDIT: Verify 9oz cartridge vs 6oz tube</t>
        </is>
      </c>
    </row>
    <row r="17" ht="15" customHeight="1" s="42">
      <c r="A17" s="50" t="inlineStr">
        <is>
          <t>Tile</t>
        </is>
      </c>
      <c r="B17" s="50" t="inlineStr">
        <is>
          <t>Ceramic wall tile - surround (4ft high, excl shower)</t>
        </is>
      </c>
      <c r="C17" s="62" t="n">
        <v>98</v>
      </c>
      <c r="D17" s="63" t="inlineStr">
        <is>
          <t>SF</t>
        </is>
      </c>
      <c r="E17" s="64">
        <f>HYPERLINK("https://www.homedepot.com/p/Daltile-Restore-Bright-White-3-in-x-6-in-Ceramic-Modular-Wall-Tile-12-5-sq-ft-case-RE15836MODHD1P2/307562453",5.98)</f>
        <v/>
      </c>
      <c r="F17" s="65">
        <f>C17*E17</f>
        <v/>
      </c>
      <c r="G17" s="50" t="inlineStr">
        <is>
          <t>~24.5 LF x 4ft; AUDIT: Daltile tile SKU 307562453 not found in search</t>
        </is>
      </c>
    </row>
    <row r="18" ht="15" customHeight="1" s="42">
      <c r="A18" s="50" t="inlineStr">
        <is>
          <t>Tile</t>
        </is>
      </c>
      <c r="B18" s="50" t="inlineStr">
        <is>
          <t>Bullnose / edge trim tile</t>
        </is>
      </c>
      <c r="C18" s="62" t="n">
        <v>28</v>
      </c>
      <c r="D18" s="63" t="inlineStr">
        <is>
          <t>LF</t>
        </is>
      </c>
      <c r="E18" s="64">
        <f>HYPERLINK("https://www.homedepot.com/p/Daltile-Restore-Bright-White-2-in-x-6-in-Ceramic-Bullnose-Wall-Tile-0-08-sq-ft-Piece-RE15826BN1P2/307562448",2.98)</f>
        <v/>
      </c>
      <c r="F18" s="65">
        <f>C18*E18</f>
        <v/>
      </c>
      <c r="G18" s="50" t="inlineStr">
        <is>
          <t>Top edge of surround; AUDIT: Daltile bullnose SKU 307562448 not found in search</t>
        </is>
      </c>
    </row>
    <row r="19" ht="15" customHeight="1" s="42">
      <c r="A19" s="50" t="inlineStr">
        <is>
          <t>Tile</t>
        </is>
      </c>
      <c r="B19" s="50" t="inlineStr">
        <is>
          <t>Cement backer board (3'x5')</t>
        </is>
      </c>
      <c r="C19" s="62" t="n">
        <v>5</v>
      </c>
      <c r="D19" s="63" t="inlineStr">
        <is>
          <t>sheet</t>
        </is>
      </c>
      <c r="E19" s="64">
        <f>HYPERLINK("https://www.homedepot.com/p/James-Hardie-HardieBacker-0-42-in-x-3-ft-x-5-ft-Cement-Backerboard-220023/100170507",16.85)</f>
        <v/>
      </c>
      <c r="F19" s="65">
        <f>C19*E19</f>
        <v/>
      </c>
      <c r="G19" s="50" t="inlineStr">
        <is>
          <t>Substrate for surround</t>
        </is>
      </c>
    </row>
    <row r="20" ht="15" customHeight="1" s="42">
      <c r="A20" s="50" t="inlineStr">
        <is>
          <t>Tile</t>
        </is>
      </c>
      <c r="B20" s="50" t="inlineStr">
        <is>
          <t>Backer board screws (1 lb)</t>
        </is>
      </c>
      <c r="C20" s="62" t="n">
        <v>1</v>
      </c>
      <c r="D20" s="63" t="inlineStr">
        <is>
          <t>kit</t>
        </is>
      </c>
      <c r="E20" s="64">
        <f>HYPERLINK("https://www.homedepot.com/p/Grip-Rite-1-5-8-in-Cement-Board-Screw-1-lb-Box-158CEMBR1/205690610",12.98)</f>
        <v/>
      </c>
      <c r="F20" s="65">
        <f>C20*E20</f>
        <v/>
      </c>
      <c r="G20" s="50" t="inlineStr">
        <is>
          <t>AUDIT: Cement board screws SKU 205690610 not found in search</t>
        </is>
      </c>
    </row>
    <row r="21" ht="15" customHeight="1" s="42">
      <c r="A21" s="50" t="inlineStr">
        <is>
          <t>Tile</t>
        </is>
      </c>
      <c r="B21" s="50" t="inlineStr">
        <is>
          <t>Modified thinset mortar (50 lb)</t>
        </is>
      </c>
      <c r="C21" s="62" t="n">
        <v>3</v>
      </c>
      <c r="D21" s="63" t="inlineStr">
        <is>
          <t>bag</t>
        </is>
      </c>
      <c r="E21" s="64">
        <f>HYPERLINK("https://www.homedepot.com/p/Custom-Building-Products-VersaBond-50-lb-White-Professional-Polymer-Modified-Thinset-Mortar-MTSW50/100091767",14.97)</f>
        <v/>
      </c>
      <c r="F21" s="65">
        <f>C21*E21</f>
        <v/>
      </c>
      <c r="G21" s="50" t="n"/>
    </row>
    <row r="22" ht="15" customHeight="1" s="42">
      <c r="A22" s="50" t="inlineStr">
        <is>
          <t>Tile</t>
        </is>
      </c>
      <c r="B22" s="50" t="inlineStr">
        <is>
          <t>Unsanded grout (10 lb)</t>
        </is>
      </c>
      <c r="C22" s="62" t="n">
        <v>2</v>
      </c>
      <c r="D22" s="63" t="inlineStr">
        <is>
          <t>bag</t>
        </is>
      </c>
      <c r="E22" s="64">
        <f>HYPERLINK("https://www.homedepot.com/p/Custom-Building-Products-Polyblend-Plus-381-Bright-White-10-lb-Unsanded-Grout-PBPG38110/313296538",18.48)</f>
        <v/>
      </c>
      <c r="F22" s="65">
        <f>C22*E22</f>
        <v/>
      </c>
      <c r="G22" s="50" t="n"/>
    </row>
    <row r="23" ht="15" customHeight="1" s="42">
      <c r="A23" s="50" t="inlineStr">
        <is>
          <t>Tile</t>
        </is>
      </c>
      <c r="B23" s="50" t="inlineStr">
        <is>
          <t>Grout sealer</t>
        </is>
      </c>
      <c r="C23" s="62" t="n">
        <v>1</v>
      </c>
      <c r="D23" s="63" t="inlineStr">
        <is>
          <t>bottle</t>
        </is>
      </c>
      <c r="E23" s="64">
        <f>HYPERLINK("https://www.homedepot.com/p/Custom-Building-Products-TileLab-15-oz-Aerosol-Grout-Sealer-TLAGS15Z/202243455",13.98)</f>
        <v/>
      </c>
      <c r="F23" s="65">
        <f>C23*E23</f>
        <v/>
      </c>
      <c r="G23" s="50" t="n"/>
    </row>
    <row r="24" ht="15" customHeight="1" s="42">
      <c r="A24" s="50" t="inlineStr">
        <is>
          <t>Tile</t>
        </is>
      </c>
      <c r="B24" s="50" t="inlineStr">
        <is>
          <t>Tile spacers, leveling system</t>
        </is>
      </c>
      <c r="C24" s="62" t="n">
        <v>1</v>
      </c>
      <c r="D24" s="63" t="inlineStr">
        <is>
          <t>kit</t>
        </is>
      </c>
      <c r="E24" s="64">
        <f>HYPERLINK("https://www.homedepot.com/p/QEP-LASH-Tile-Leveling-System-Project-Pack-100-1-16-in-Leveling-Clips-and-100-Wedges-200-Piece-99741/314956144",20.47)</f>
        <v/>
      </c>
      <c r="F24" s="65">
        <f>C24*E24</f>
        <v/>
      </c>
      <c r="G24" s="50" t="n"/>
    </row>
    <row r="25" ht="15" customHeight="1" s="42">
      <c r="A25" s="50" t="inlineStr">
        <is>
          <t>Tile</t>
        </is>
      </c>
      <c r="B25" s="50" t="inlineStr">
        <is>
          <t>Silicone caulk - tile corners/transitions</t>
        </is>
      </c>
      <c r="C25" s="62" t="n">
        <v>2</v>
      </c>
      <c r="D25" s="63" t="inlineStr">
        <is>
          <t>tube</t>
        </is>
      </c>
      <c r="E25" s="64">
        <f>HYPERLINK("https://www.homedepot.com/p/DAP-Kwik-Seal-Plus-10-1-oz-White-Kitchen-and-Bath-Adhesive-Caulk-18510/100634364",7.98)</f>
        <v/>
      </c>
      <c r="F25" s="65">
        <f>C25*E25</f>
        <v/>
      </c>
      <c r="G25" s="50" t="inlineStr">
        <is>
          <t>AUDIT: URL may be Kwik Seal (18032) not Kwik Seal Plus (18510); verify SKU</t>
        </is>
      </c>
    </row>
    <row r="26" ht="15" customHeight="1" s="42">
      <c r="A26" s="50" t="inlineStr">
        <is>
          <t>Vanity/Sink</t>
        </is>
      </c>
      <c r="B26" s="50" t="inlineStr">
        <is>
          <t>Bathroom vanity w/ solid surface top (30"-36")</t>
        </is>
      </c>
      <c r="C26" s="62" t="n">
        <v>1</v>
      </c>
      <c r="D26" s="63" t="inlineStr">
        <is>
          <t>ea</t>
        </is>
      </c>
      <c r="E26" s="64">
        <f>HYPERLINK("https://www.homedepot.com/p/Home-Decorators-Collection-Doveton-30-in-Single-Sink-Freestanding-White-Bath-Vanity-with-White-Engineered-Marble-Top-Assembled-Doveton-30W/320686810",439)</f>
        <v/>
      </c>
      <c r="F26" s="65">
        <f>C26*E26</f>
        <v/>
      </c>
      <c r="G26" s="50" t="inlineStr">
        <is>
          <t>Mid-upper grade, soft-close</t>
        </is>
      </c>
    </row>
    <row r="27" ht="15" customHeight="1" s="42">
      <c r="A27" s="50" t="inlineStr">
        <is>
          <t>Vanity/Sink</t>
        </is>
      </c>
      <c r="B27" s="50" t="inlineStr">
        <is>
          <t>Moen Genta bathroom faucet (brushed nickel)</t>
        </is>
      </c>
      <c r="C27" s="62" t="n">
        <v>1</v>
      </c>
      <c r="D27" s="63" t="inlineStr">
        <is>
          <t>ea</t>
        </is>
      </c>
      <c r="E27" s="64">
        <f>HYPERLINK("https://www.homedepot.com/p/MOEN-Genta-Single-Handle-Single-Hole-Bathroom-Faucet-in-Brushed-Nickel-WS84760SRN/301980213",116.1)</f>
        <v/>
      </c>
      <c r="F27" s="65">
        <f>C27*E27</f>
        <v/>
      </c>
      <c r="G27" s="50" t="n"/>
    </row>
    <row r="28" ht="15" customHeight="1" s="42">
      <c r="A28" s="50" t="inlineStr">
        <is>
          <t>Vanity/Sink</t>
        </is>
      </c>
      <c r="B28" s="50" t="inlineStr">
        <is>
          <t>Drain assembly &amp; pop-up</t>
        </is>
      </c>
      <c r="C28" s="62" t="n">
        <v>1</v>
      </c>
      <c r="D28" s="63" t="inlineStr">
        <is>
          <t>ea</t>
        </is>
      </c>
      <c r="E28" s="64">
        <f>HYPERLINK("https://www.homedepot.com/p/Oatey-1-1-4-in-Brushed-Nickel-Finish-Pop-Up-Assembly-HD759BNB3/316408158",14.98)</f>
        <v/>
      </c>
      <c r="F28" s="65">
        <f>C28*E28</f>
        <v/>
      </c>
      <c r="G28" s="50" t="n"/>
    </row>
    <row r="29" ht="15" customHeight="1" s="42">
      <c r="A29" s="50" t="inlineStr">
        <is>
          <t>Vanity/Sink</t>
        </is>
      </c>
      <c r="B29" s="50" t="inlineStr">
        <is>
          <t>P-trap assembly</t>
        </is>
      </c>
      <c r="C29" s="62" t="n">
        <v>1</v>
      </c>
      <c r="D29" s="63" t="inlineStr">
        <is>
          <t>ea</t>
        </is>
      </c>
      <c r="E29" s="64">
        <f>HYPERLINK("https://www.homedepot.com/p/Everbilt-1-1-4-in-White-Plastic-Sink-Drain-P-Trap-with-Reversible-J-Bend-C9700B/205153784",5.98)</f>
        <v/>
      </c>
      <c r="F29" s="65">
        <f>C29*E29</f>
        <v/>
      </c>
      <c r="G29" s="50" t="n"/>
    </row>
    <row r="30" ht="15" customHeight="1" s="42">
      <c r="A30" s="50" t="inlineStr">
        <is>
          <t>Vanity/Sink</t>
        </is>
      </c>
      <c r="B30" s="50" t="inlineStr">
        <is>
          <t>Supply lines - braided stainless (2)</t>
        </is>
      </c>
      <c r="C30" s="62" t="n">
        <v>2</v>
      </c>
      <c r="D30" s="63" t="inlineStr">
        <is>
          <t>ea</t>
        </is>
      </c>
      <c r="E30" s="64">
        <f>HYPERLINK("https://www.homedepot.com/p/BrassCraft-3-8-in-Comp-x-1-2-in-FIP-x-20-in-Braided-Stainless-Steel-Faucet-Connector-B1-20A-F/100464003",7.28)</f>
        <v/>
      </c>
      <c r="F30" s="65">
        <f>C30*E30</f>
        <v/>
      </c>
      <c r="G30" s="50" t="n"/>
    </row>
    <row r="31" ht="15" customHeight="1" s="42">
      <c r="A31" s="50" t="inlineStr">
        <is>
          <t>Vanity/Sink</t>
        </is>
      </c>
      <c r="B31" s="50" t="inlineStr">
        <is>
          <t>Plumbers putty (stain-free)</t>
        </is>
      </c>
      <c r="C31" s="62" t="n">
        <v>1</v>
      </c>
      <c r="D31" s="63" t="inlineStr">
        <is>
          <t>ea</t>
        </is>
      </c>
      <c r="E31" s="64">
        <f>HYPERLINK("https://www.homedepot.com/p/Oatey-9-oz-Stain-Free-Plumber-s-Putty-31177/203013821",5.97)</f>
        <v/>
      </c>
      <c r="F31" s="65">
        <f>C31*E31</f>
        <v/>
      </c>
      <c r="G31" s="50" t="n"/>
    </row>
    <row r="32" ht="15" customHeight="1" s="42">
      <c r="A32" s="50" t="inlineStr">
        <is>
          <t>Vanity/Sink</t>
        </is>
      </c>
      <c r="B32" s="50" t="inlineStr">
        <is>
          <t>Framed mirror (wall mount)</t>
        </is>
      </c>
      <c r="C32" s="62" t="n">
        <v>1</v>
      </c>
      <c r="D32" s="63" t="inlineStr">
        <is>
          <t>ea</t>
        </is>
      </c>
      <c r="E32" s="64">
        <f>HYPERLINK("https://www.homedepot.com/p/Home-Decorators-Collection-24-in-W-x-30-in-H-Rectangular-Aluminum-Framed-Wall-Bathroom-Vanity-Mirror-in-Black-Screws-Not-Included-2430-AL067B/322183957",89.97)</f>
        <v/>
      </c>
      <c r="F32" s="65">
        <f>C32*E32</f>
        <v/>
      </c>
      <c r="G32" s="50" t="n"/>
    </row>
    <row r="33" ht="15" customHeight="1" s="42">
      <c r="A33" s="50" t="inlineStr">
        <is>
          <t>Door/Trim</t>
        </is>
      </c>
      <c r="B33" s="50" t="inlineStr">
        <is>
          <t>Interior door slab - solid core (30")</t>
        </is>
      </c>
      <c r="C33" s="62" t="n">
        <v>1</v>
      </c>
      <c r="D33" s="63" t="inlineStr">
        <is>
          <t>ea</t>
        </is>
      </c>
      <c r="E33" s="64">
        <f>HYPERLINK("https://www.homedepot.com/p/Masonite-30-in-x-80-in-Lincoln-Park-Primed-1-Panel-Solid-Core-Composite-Interior-Door-Slab-10556/205746638",208)</f>
        <v/>
      </c>
      <c r="F33" s="65">
        <f>C33*E33</f>
        <v/>
      </c>
      <c r="G33" s="50" t="n"/>
    </row>
    <row r="34" ht="15" customHeight="1" s="42">
      <c r="A34" s="50" t="inlineStr">
        <is>
          <t>Door/Trim</t>
        </is>
      </c>
      <c r="B34" s="50" t="inlineStr">
        <is>
          <t>Door casing set - colonial</t>
        </is>
      </c>
      <c r="C34" s="62" t="n">
        <v>1</v>
      </c>
      <c r="D34" s="63" t="inlineStr">
        <is>
          <t>set</t>
        </is>
      </c>
      <c r="E34" s="64">
        <f>HYPERLINK("https://www.homedepot.com/p/Alexandria-Moulding-2-3-4-in-x-6-7-8-in-x-84-in-Primed-MDF-Door-Casing-Kit-02004-93084C/309671432",42.98)</f>
        <v/>
      </c>
      <c r="F34" s="65">
        <f>C34*E34</f>
        <v/>
      </c>
      <c r="G34" s="50" t="n"/>
    </row>
    <row r="35" ht="15" customHeight="1" s="42">
      <c r="A35" s="50" t="inlineStr">
        <is>
          <t>Door/Trim</t>
        </is>
      </c>
      <c r="B35" s="50" t="inlineStr">
        <is>
          <t>Door hardware - privacy knob (brushed nickel)</t>
        </is>
      </c>
      <c r="C35" s="62" t="n">
        <v>1</v>
      </c>
      <c r="D35" s="63" t="inlineStr">
        <is>
          <t>ea</t>
        </is>
      </c>
      <c r="E35" s="64">
        <f>HYPERLINK("https://www.homedepot.com/p/Kwikset-Juno-Satin-Nickel-Privacy-Bed-Bath-Door-Knob-730J-15-6AL-RCS/100689824",34.98)</f>
        <v/>
      </c>
      <c r="F35" s="65">
        <f>C35*E35</f>
        <v/>
      </c>
      <c r="G35" s="50" t="n"/>
    </row>
    <row r="36" ht="15" customHeight="1" s="42">
      <c r="A36" s="50" t="inlineStr">
        <is>
          <t>Door/Trim</t>
        </is>
      </c>
      <c r="B36" s="50" t="inlineStr">
        <is>
          <t>Door hinges (satin nickel)</t>
        </is>
      </c>
      <c r="C36" s="62" t="n">
        <v>1</v>
      </c>
      <c r="D36" s="63" t="inlineStr">
        <is>
          <t>pack</t>
        </is>
      </c>
      <c r="E36" s="64">
        <f>HYPERLINK("https://www.homedepot.com/p/Everbilt-3-Pack-3-1-2-in-x-5-8-in-Radius-Satin-Nickel-Security-Butt-Door-Hinge-Value-Pack-14874/202818703",10.98)</f>
        <v/>
      </c>
      <c r="F36" s="65">
        <f>C36*E36</f>
        <v/>
      </c>
      <c r="G36" s="50" t="n"/>
    </row>
    <row r="37" ht="15" customHeight="1" s="42">
      <c r="A37" s="50" t="inlineStr">
        <is>
          <t>Trim</t>
        </is>
      </c>
      <c r="B37" s="50" t="inlineStr">
        <is>
          <t>Baseboard - 3-1/4" MDF primed (8ft)</t>
        </is>
      </c>
      <c r="C37" s="62" t="n">
        <v>4</v>
      </c>
      <c r="D37" s="63" t="inlineStr">
        <is>
          <t>piece</t>
        </is>
      </c>
      <c r="E37" s="64">
        <f>HYPERLINK("https://www.homedepot.com/p/Woodgrain-Millwork-623-1-2-in-x-3-1-4-in-x-96-in-Primed-MDF-Baseboard-Moulding-1-Piece-8-Total-Linear-Feet-10001007/203209370",6.51)</f>
        <v/>
      </c>
      <c r="F37" s="65">
        <f>C37*E37</f>
        <v/>
      </c>
      <c r="G37" s="50" t="inlineStr">
        <is>
          <t>~28 LF full perimeter</t>
        </is>
      </c>
    </row>
    <row r="38" ht="15" customHeight="1" s="42">
      <c r="A38" s="50" t="inlineStr">
        <is>
          <t>Trim</t>
        </is>
      </c>
      <c r="B38" s="50" t="inlineStr">
        <is>
          <t>Plinth blocks (MDF primed)</t>
        </is>
      </c>
      <c r="C38" s="62" t="n">
        <v>4</v>
      </c>
      <c r="D38" s="63" t="inlineStr">
        <is>
          <t>ea</t>
        </is>
      </c>
      <c r="E38" s="64">
        <f>HYPERLINK("https://www.homedepot.com/p/House-of-Fara-3-4-in-x-3-1-4-in-x-3-1-4-in-MDF-Primed-Plinth-Block-8621/205426918",3.98)</f>
        <v/>
      </c>
      <c r="F38" s="65">
        <f>C38*E38</f>
        <v/>
      </c>
      <c r="G38" s="50" t="n"/>
    </row>
    <row r="39" ht="15" customHeight="1" s="42">
      <c r="A39" s="50" t="inlineStr">
        <is>
          <t>Trim</t>
        </is>
      </c>
      <c r="B39" s="50" t="inlineStr">
        <is>
          <t>18ga 2" brad nails (1000ct)</t>
        </is>
      </c>
      <c r="C39" s="62" t="n">
        <v>1</v>
      </c>
      <c r="D39" s="63" t="inlineStr">
        <is>
          <t>box</t>
        </is>
      </c>
      <c r="E39" s="64">
        <f>HYPERLINK("https://www.homedepot.com/p/Grip-Rite-2-in-18-Gauge-Brad-Nails-1000-Pack-GRF18200/202308594",7.98)</f>
        <v/>
      </c>
      <c r="F39" s="65">
        <f>C39*E39</f>
        <v/>
      </c>
      <c r="G39" s="50" t="n"/>
    </row>
    <row r="40" ht="15" customHeight="1" s="42">
      <c r="A40" s="50" t="inlineStr">
        <is>
          <t>Trim</t>
        </is>
      </c>
      <c r="B40" s="50" t="inlineStr">
        <is>
          <t>Paintable latex caulk</t>
        </is>
      </c>
      <c r="C40" s="62" t="n">
        <v>2</v>
      </c>
      <c r="D40" s="63" t="inlineStr">
        <is>
          <t>tube</t>
        </is>
      </c>
      <c r="E40" s="64">
        <f>HYPERLINK("https://www.homedepot.com/p/DAP-Alex-Plus-10-1-oz-White-Acrylic-Latex-Caulk-Plus-Silicone-18103/100097524",3.98)</f>
        <v/>
      </c>
      <c r="F40" s="65">
        <f>C40*E40</f>
        <v/>
      </c>
      <c r="G40" s="50" t="n"/>
    </row>
    <row r="41" ht="15" customHeight="1" s="42">
      <c r="A41" s="50" t="inlineStr">
        <is>
          <t>Trim</t>
        </is>
      </c>
      <c r="B41" s="50" t="inlineStr">
        <is>
          <t>Wood filler / spackle</t>
        </is>
      </c>
      <c r="C41" s="62" t="n">
        <v>1</v>
      </c>
      <c r="D41" s="63" t="inlineStr">
        <is>
          <t>tube</t>
        </is>
      </c>
      <c r="E41" s="64">
        <f>HYPERLINK("https://www.homedepot.com/p/DAP-Plastic-Wood-X-with-DryDex-5-5-oz-All-Purpose-Wood-Filler-00540/206667344",7.98)</f>
        <v/>
      </c>
      <c r="F41" s="65">
        <f>C41*E41</f>
        <v/>
      </c>
      <c r="G41" s="50" t="n"/>
    </row>
    <row r="42" ht="15" customHeight="1" s="42">
      <c r="A42" s="50" t="inlineStr">
        <is>
          <t>Drywall</t>
        </is>
      </c>
      <c r="B42" s="50" t="inlineStr">
        <is>
          <t>Joint compound - skim coat (4.5 gal)</t>
        </is>
      </c>
      <c r="C42" s="62" t="n">
        <v>1</v>
      </c>
      <c r="D42" s="63" t="inlineStr">
        <is>
          <t>bucket</t>
        </is>
      </c>
      <c r="E42" s="64">
        <f>HYPERLINK("https://www.homedepot.com/p/USG-Sheetrock-Brand-4-5-Gal-All-Purpose-Pre-Mixed-Joint-Compound-380501/100321602",20.58)</f>
        <v/>
      </c>
      <c r="F42" s="65">
        <f>C42*E42</f>
        <v/>
      </c>
      <c r="G42" s="50" t="n"/>
    </row>
    <row r="43" ht="15" customHeight="1" s="42">
      <c r="A43" s="50" t="inlineStr">
        <is>
          <t>Drywall</t>
        </is>
      </c>
      <c r="B43" s="50" t="inlineStr">
        <is>
          <t>Lightweight finishing compound</t>
        </is>
      </c>
      <c r="C43" s="62" t="n">
        <v>1</v>
      </c>
      <c r="D43" s="63" t="inlineStr">
        <is>
          <t>bucket</t>
        </is>
      </c>
      <c r="E43" s="64">
        <f>HYPERLINK("https://www.homedepot.com/p/USG-Sheetrock-Brand-4-5-Gal-Plus-3-Lightweight-All-Purpose-Pre-Mixed-Joint-Compound-381466/100321604",23.68)</f>
        <v/>
      </c>
      <c r="F43" s="65">
        <f>C43*E43</f>
        <v/>
      </c>
      <c r="G43" s="50" t="n"/>
    </row>
    <row r="44" ht="15" customHeight="1" s="42">
      <c r="A44" s="50" t="inlineStr">
        <is>
          <t>Drywall</t>
        </is>
      </c>
      <c r="B44" s="50" t="inlineStr">
        <is>
          <t>Sanding sponge / 120-grit</t>
        </is>
      </c>
      <c r="C44" s="62" t="n">
        <v>3</v>
      </c>
      <c r="D44" s="63" t="inlineStr">
        <is>
          <t>ea</t>
        </is>
      </c>
      <c r="E44" s="64">
        <f>HYPERLINK("https://www.homedepot.com/p/3M-2-7-8-in-x-4-7-8-in-x-1-in-Fine-Medium-Drywall-Sanding-Sponge-9093DCNA/100353968",4.97)</f>
        <v/>
      </c>
      <c r="F44" s="65">
        <f>C44*E44</f>
        <v/>
      </c>
      <c r="G44" s="50" t="n"/>
    </row>
    <row r="45" ht="15" customHeight="1" s="42">
      <c r="A45" s="50" t="inlineStr">
        <is>
          <t>Paint</t>
        </is>
      </c>
      <c r="B45" s="50" t="inlineStr">
        <is>
          <t>Zinsser Mold Killing Primer (1 gal)</t>
        </is>
      </c>
      <c r="C45" s="62" t="n">
        <v>1</v>
      </c>
      <c r="D45" s="63" t="inlineStr">
        <is>
          <t>gal</t>
        </is>
      </c>
      <c r="E45" s="64">
        <f>HYPERLINK("https://www.homedepot.com/p/Zinsser-Mold-Killing-1-Gal-White-Water-Based-Interior-Exterior-Primer-276049/202520508",45.98)</f>
        <v/>
      </c>
      <c r="F45" s="65">
        <f>C45*E45</f>
        <v/>
      </c>
      <c r="G45" s="50" t="n"/>
    </row>
    <row r="46" ht="15" customHeight="1" s="42">
      <c r="A46" s="50" t="inlineStr">
        <is>
          <t>Paint</t>
        </is>
      </c>
      <c r="B46" s="50" t="inlineStr">
        <is>
          <t>BEHR Marquee semi-gloss interior paint (1 gal)</t>
        </is>
      </c>
      <c r="C46" s="62" t="n">
        <v>1</v>
      </c>
      <c r="D46" s="63" t="inlineStr">
        <is>
          <t>gal</t>
        </is>
      </c>
      <c r="E46" s="64">
        <f>HYPERLINK("https://www.homedepot.com/p/BEHR-MARQUEE-1-gal-Ultra-Pure-White-Semi-Gloss-Enamel-Interior-Paint-Primer-345001/204747524",58.98)</f>
        <v/>
      </c>
      <c r="F46" s="65">
        <f>C46*E46</f>
        <v/>
      </c>
      <c r="G46" s="50" t="inlineStr">
        <is>
          <t>All walls, moisture/mildew-resistant</t>
        </is>
      </c>
    </row>
    <row r="47" ht="15" customHeight="1" s="42">
      <c r="A47" s="50" t="inlineStr">
        <is>
          <t>Paint</t>
        </is>
      </c>
      <c r="B47" s="50" t="inlineStr">
        <is>
          <t>BEHR Marquee semi-gloss trim paint (1 qt)</t>
        </is>
      </c>
      <c r="C47" s="62" t="n">
        <v>1</v>
      </c>
      <c r="D47" s="63" t="inlineStr">
        <is>
          <t>qt</t>
        </is>
      </c>
      <c r="E47" s="64">
        <f>HYPERLINK("https://www.homedepot.com/p/BEHR-MARQUEE-1-qt-Ultra-Pure-White-Semi-Gloss-Enamel-Interior-Paint-Primer-345004/204747525",23.98)</f>
        <v/>
      </c>
      <c r="F47" s="65">
        <f>C47*E47</f>
        <v/>
      </c>
      <c r="G47" s="50" t="n"/>
    </row>
    <row r="48" ht="15" customHeight="1" s="42">
      <c r="A48" s="50" t="inlineStr">
        <is>
          <t>Paint</t>
        </is>
      </c>
      <c r="B48" s="50" t="inlineStr">
        <is>
          <t>Paint supplies (rollers, brush, tape)</t>
        </is>
      </c>
      <c r="C48" s="62" t="n">
        <v>1</v>
      </c>
      <c r="D48" s="63" t="inlineStr">
        <is>
          <t>kit</t>
        </is>
      </c>
      <c r="E48" s="64">
        <f>HYPERLINK("https://www.homedepot.com/p/Wooster-9-in-x-3-8-in-Pro-American-Contractor-High-Density-Knit-Roller-Cover-3-Pack-0-RC660-9/205625717",11.97)</f>
        <v/>
      </c>
      <c r="F48" s="65">
        <f>C48*E48</f>
        <v/>
      </c>
      <c r="G48" s="50" t="inlineStr">
        <is>
          <t>AUDIT: Roller covers SKU may be superseded</t>
        </is>
      </c>
    </row>
    <row r="49" ht="15" customHeight="1" s="42">
      <c r="A49" s="50" t="inlineStr">
        <is>
          <t>Supplies</t>
        </is>
      </c>
      <c r="B49" s="50" t="inlineStr">
        <is>
          <t>Plastic sheeting / drop cloths</t>
        </is>
      </c>
      <c r="C49" s="62" t="n">
        <v>2</v>
      </c>
      <c r="D49" s="63" t="inlineStr">
        <is>
          <t>pack</t>
        </is>
      </c>
      <c r="E49" s="64">
        <f>HYPERLINK("https://www.homedepot.com/p/HDX-9-ft-x-12-ft-0-7-mil-Drop-Cloth-2-Pack-DCHD-07-2/202528629",6.98)</f>
        <v/>
      </c>
      <c r="F49" s="65">
        <f>C49*E49</f>
        <v/>
      </c>
      <c r="G49" s="50" t="inlineStr">
        <is>
          <t>AUDIT: Drop cloth SKU not found in search</t>
        </is>
      </c>
    </row>
    <row r="50" ht="15" customHeight="1" s="42">
      <c r="A50" s="50" t="inlineStr">
        <is>
          <t>Supplies</t>
        </is>
      </c>
      <c r="B50" s="50" t="inlineStr">
        <is>
          <t>Disposal / debris hauling</t>
        </is>
      </c>
      <c r="C50" s="62" t="n">
        <v>1</v>
      </c>
      <c r="D50" s="63" t="inlineStr">
        <is>
          <t>flat</t>
        </is>
      </c>
      <c r="E50" s="65" t="n">
        <v>125</v>
      </c>
      <c r="F50" s="65">
        <f>C50*E50</f>
        <v/>
      </c>
      <c r="G50" s="50" t="inlineStr">
        <is>
          <t>Old materials removal</t>
        </is>
      </c>
    </row>
    <row r="51" ht="15" customHeight="1" s="42">
      <c r="A51" s="66" t="inlineStr">
        <is>
          <t>&gt;&gt;&gt; OWNER-PERFORMED LABOR (valued at contractor equivalent rates)</t>
        </is>
      </c>
      <c r="B51" s="67" t="n"/>
      <c r="C51" s="67" t="n"/>
      <c r="D51" s="67" t="n"/>
      <c r="E51" s="67" t="n"/>
      <c r="F51" s="67" t="n"/>
      <c r="G51" s="68" t="n"/>
    </row>
    <row r="52" ht="15" customHeight="1" s="42">
      <c r="A52" s="69" t="inlineStr">
        <is>
          <t>Owner Labor</t>
        </is>
      </c>
      <c r="B52" s="69" t="inlineStr">
        <is>
          <t>Vinyl floor installation</t>
        </is>
      </c>
      <c r="C52" s="70" t="n">
        <v>47</v>
      </c>
      <c r="D52" s="71" t="inlineStr">
        <is>
          <t>SF</t>
        </is>
      </c>
      <c r="E52" s="72" t="n">
        <v>3.5</v>
      </c>
      <c r="F52" s="72">
        <f>C52*E52</f>
        <v/>
      </c>
      <c r="G52" s="69" t="inlineStr">
        <is>
          <t>See Pricing Sources tab</t>
        </is>
      </c>
    </row>
    <row r="53" ht="15" customHeight="1" s="42">
      <c r="A53" s="69" t="inlineStr">
        <is>
          <t>Owner Labor</t>
        </is>
      </c>
      <c r="B53" s="69" t="inlineStr">
        <is>
          <t>Tile surround installation (backer, tile, grout)</t>
        </is>
      </c>
      <c r="C53" s="70" t="n">
        <v>98</v>
      </c>
      <c r="D53" s="71" t="inlineStr">
        <is>
          <t>SF</t>
        </is>
      </c>
      <c r="E53" s="72" t="n">
        <v>10</v>
      </c>
      <c r="F53" s="72">
        <f>C53*E53</f>
        <v/>
      </c>
      <c r="G53" s="69" t="inlineStr">
        <is>
          <t>See Pricing Sources tab</t>
        </is>
      </c>
    </row>
    <row r="54" ht="15" customHeight="1" s="42">
      <c r="A54" s="69" t="inlineStr">
        <is>
          <t>Owner Labor</t>
        </is>
      </c>
      <c r="B54" s="69" t="inlineStr">
        <is>
          <t>Vanity set &amp; plumbing hookup</t>
        </is>
      </c>
      <c r="C54" s="70" t="n">
        <v>1</v>
      </c>
      <c r="D54" s="71" t="inlineStr">
        <is>
          <t>ea</t>
        </is>
      </c>
      <c r="E54" s="72" t="n">
        <v>250</v>
      </c>
      <c r="F54" s="72">
        <f>C54*E54</f>
        <v/>
      </c>
      <c r="G54" s="69" t="inlineStr">
        <is>
          <t>Connect to existing supply/drain</t>
        </is>
      </c>
    </row>
    <row r="55" ht="15" customHeight="1" s="42">
      <c r="A55" s="69" t="inlineStr">
        <is>
          <t>Owner Labor</t>
        </is>
      </c>
      <c r="B55" s="69" t="inlineStr">
        <is>
          <t>Door &amp; trim installation</t>
        </is>
      </c>
      <c r="C55" s="70" t="n">
        <v>1</v>
      </c>
      <c r="D55" s="71" t="inlineStr">
        <is>
          <t>ea</t>
        </is>
      </c>
      <c r="E55" s="72" t="n">
        <v>325</v>
      </c>
      <c r="F55" s="72">
        <f>C55*E55</f>
        <v/>
      </c>
      <c r="G55" s="69" t="inlineStr">
        <is>
          <t>See Pricing Sources tab</t>
        </is>
      </c>
    </row>
    <row r="56" ht="15" customHeight="1" s="42">
      <c r="A56" s="69" t="inlineStr">
        <is>
          <t>Owner Labor</t>
        </is>
      </c>
      <c r="B56" s="69" t="inlineStr">
        <is>
          <t>Drywall skim coat, sand, prep</t>
        </is>
      </c>
      <c r="C56" s="70" t="n">
        <v>190</v>
      </c>
      <c r="D56" s="71" t="inlineStr">
        <is>
          <t>SF</t>
        </is>
      </c>
      <c r="E56" s="72" t="n">
        <v>1.75</v>
      </c>
      <c r="F56" s="72">
        <f>C56*E56</f>
        <v/>
      </c>
      <c r="G56" s="69" t="inlineStr">
        <is>
          <t>See Pricing Sources tab</t>
        </is>
      </c>
    </row>
    <row r="57" ht="15" customHeight="1" s="42">
      <c r="A57" s="69" t="inlineStr">
        <is>
          <t>Owner Labor</t>
        </is>
      </c>
      <c r="B57" s="69" t="inlineStr">
        <is>
          <t>Baseboard removal &amp; installation</t>
        </is>
      </c>
      <c r="C57" s="70" t="n">
        <v>28</v>
      </c>
      <c r="D57" s="71" t="inlineStr">
        <is>
          <t>LF</t>
        </is>
      </c>
      <c r="E57" s="72" t="n">
        <v>8.25</v>
      </c>
      <c r="F57" s="72">
        <f>C57*E57</f>
        <v/>
      </c>
      <c r="G57" s="69" t="inlineStr">
        <is>
          <t>See Pricing Sources tab</t>
        </is>
      </c>
    </row>
    <row r="58" ht="15" customHeight="1" s="42">
      <c r="A58" s="69" t="inlineStr">
        <is>
          <t>Owner Labor</t>
        </is>
      </c>
      <c r="B58" s="69" t="inlineStr">
        <is>
          <t>Paint - all walls + trim, prime + 2 coats</t>
        </is>
      </c>
      <c r="C58" s="70" t="n">
        <v>190</v>
      </c>
      <c r="D58" s="71" t="inlineStr">
        <is>
          <t>SF</t>
        </is>
      </c>
      <c r="E58" s="72" t="n">
        <v>2</v>
      </c>
      <c r="F58" s="72">
        <f>C58*E58</f>
        <v/>
      </c>
      <c r="G58" s="69" t="inlineStr">
        <is>
          <t>See Pricing Sources tab</t>
        </is>
      </c>
    </row>
    <row r="59" ht="15" customHeight="1" s="42">
      <c r="A59" s="73" t="inlineStr">
        <is>
          <t>&gt;&gt;&gt; SUBCONTRACTOR LABOR</t>
        </is>
      </c>
      <c r="B59" s="67" t="n"/>
      <c r="C59" s="67" t="n"/>
      <c r="D59" s="67" t="n"/>
      <c r="E59" s="67" t="n"/>
      <c r="F59" s="67" t="n"/>
      <c r="G59" s="68" t="n"/>
    </row>
    <row r="60" ht="15" customHeight="1" s="42">
      <c r="A60" s="74" t="inlineStr">
        <is>
          <t>Sub Labor</t>
        </is>
      </c>
      <c r="B60" s="74" t="inlineStr">
        <is>
          <t>DreamStone shower system installation</t>
        </is>
      </c>
      <c r="C60" s="75" t="n">
        <v>1</v>
      </c>
      <c r="D60" s="76" t="inlineStr">
        <is>
          <t>ea</t>
        </is>
      </c>
      <c r="E60" s="77" t="n">
        <v>800</v>
      </c>
      <c r="F60" s="77">
        <f>C60*E60</f>
        <v/>
      </c>
      <c r="G60" s="74" t="inlineStr">
        <is>
          <t>Set base, mount panels, hang door, seal</t>
        </is>
      </c>
    </row>
    <row r="61" ht="15" customHeight="1" s="42">
      <c r="A61" s="78" t="inlineStr">
        <is>
          <t>Room Subtotal</t>
        </is>
      </c>
      <c r="B61" s="54" t="n"/>
      <c r="C61" s="54" t="n"/>
      <c r="D61" s="54" t="n"/>
      <c r="E61" s="55" t="n"/>
      <c r="F61" s="79">
        <f>SUM(F9:F60)</f>
        <v/>
      </c>
      <c r="G61" s="80" t="n"/>
    </row>
  </sheetData>
  <mergeCells count="5">
    <mergeCell ref="A1:G1"/>
    <mergeCell ref="B5:G5"/>
    <mergeCell ref="A59:G59"/>
    <mergeCell ref="A61:E61"/>
    <mergeCell ref="A51:G5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tabColor rgb="FF2E75B6"/>
    <outlinePr summaryBelow="1" summaryRight="1"/>
    <pageSetUpPr fitToPage="0"/>
  </sheetPr>
  <dimension ref="A1:G4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Hallway</t>
        </is>
      </c>
    </row>
    <row r="3" ht="15" customHeight="1" s="42">
      <c r="A3" s="44" t="inlineStr">
        <is>
          <t>Room:</t>
        </is>
      </c>
      <c r="B3" s="58" t="inlineStr">
        <is>
          <t>Hallway</t>
        </is>
      </c>
    </row>
    <row r="4" ht="15" customHeight="1" s="42">
      <c r="A4" s="44" t="inlineStr">
        <is>
          <t>Dimensions:</t>
        </is>
      </c>
      <c r="B4" s="58" t="inlineStr">
        <is>
          <t>14' x 3'3" + offset 3'1" x 4'10"</t>
        </is>
      </c>
    </row>
    <row r="5" ht="15" customHeight="1" s="42">
      <c r="A5" s="44" t="inlineStr">
        <is>
          <t>Areas of Repair:</t>
        </is>
      </c>
      <c r="B5" s="45" t="inlineStr">
        <is>
          <t>Full area: LifeProof carpet &amp; pad, concrete crack repair &amp; leveling, drywall, all baseboard, texture, paint all walls</t>
        </is>
      </c>
    </row>
    <row r="6" ht="15" customHeight="1" s="42">
      <c r="A6" s="44" t="inlineStr">
        <is>
          <t>Work Completed:</t>
        </is>
      </c>
      <c r="B6" s="58" t="inlineStr">
        <is>
          <t>Floor demo, wet material removed, 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LifeProof w/ Petproof Technology - low pile carpet</t>
        </is>
      </c>
      <c r="C9" s="62" t="n">
        <v>61</v>
      </c>
      <c r="D9" s="63" t="inlineStr">
        <is>
          <t>SF</t>
        </is>
      </c>
      <c r="E9" s="64">
        <f>HYPERLINK("https://www.homedepot.com/b/Flooring-Carpet/Lifeproof-with-Petproof-Technology/N-5yc1vZarl0Zs7d",5.49)</f>
        <v/>
      </c>
      <c r="F9" s="65">
        <f>C9*E9</f>
        <v/>
      </c>
      <c r="G9" s="50" t="inlineStr">
        <is>
          <t>Triexta, lifetime pet-stain warranty, 25yr wear; AUDIT: URL is category page, not specific product SKU</t>
        </is>
      </c>
    </row>
    <row r="10" ht="15" customHeight="1" s="42">
      <c r="A10" s="50" t="inlineStr">
        <is>
          <t>Flooring</t>
        </is>
      </c>
      <c r="B10" s="50" t="inlineStr">
        <is>
          <t>LifeProof 1/2" Premium Comfort Foam pad (SpillSafe)</t>
        </is>
      </c>
      <c r="C10" s="62" t="n">
        <v>61</v>
      </c>
      <c r="D10" s="63" t="inlineStr">
        <is>
          <t>SF</t>
        </is>
      </c>
      <c r="E10" s="64">
        <f>HYPERLINK("https://www.homedepot.com/p/Lifeproof-1-2-in-Thick-Premium-Comfort-Foam-Carpet-Pad-with-Double-Sided-Waterproof-SpillSafe-Membrane-100502850-04/316061675",1.35)</f>
        <v/>
      </c>
      <c r="F10" s="65">
        <f>C10*E10</f>
        <v/>
      </c>
      <c r="G10" s="50" t="inlineStr">
        <is>
          <t>Double-sided waterproof moisture barrier</t>
        </is>
      </c>
    </row>
    <row r="11" ht="15" customHeight="1" s="42">
      <c r="A11" s="50" t="inlineStr">
        <is>
          <t>Flooring</t>
        </is>
      </c>
      <c r="B11" s="50" t="inlineStr">
        <is>
          <t>Tack strips</t>
        </is>
      </c>
      <c r="C11" s="62" t="n">
        <v>42</v>
      </c>
      <c r="D11" s="63" t="inlineStr">
        <is>
          <t>LF</t>
        </is>
      </c>
      <c r="E11" s="64">
        <f>HYPERLINK("https://www.homedepot.com/p/Halex-Poplar-7-8-in-x-4-ft-Carpet-Tack-Strip-for-Wood-or-Concrete-Subfloors-3-Pack-HD-161-P-8/203301578",0.29)</f>
        <v/>
      </c>
      <c r="F11" s="65">
        <f>C11*E11</f>
        <v/>
      </c>
      <c r="G11" s="50" t="inlineStr">
        <is>
          <t>Full room perimeter</t>
        </is>
      </c>
    </row>
    <row r="12" ht="15" customHeight="1" s="42">
      <c r="A12" s="50" t="inlineStr">
        <is>
          <t>Flooring</t>
        </is>
      </c>
      <c r="B12" s="50" t="inlineStr">
        <is>
          <t>Carpet seam tape</t>
        </is>
      </c>
      <c r="C12" s="62" t="n">
        <v>1</v>
      </c>
      <c r="D12" s="63" t="inlineStr">
        <is>
          <t>roll</t>
        </is>
      </c>
      <c r="E12" s="64">
        <f>HYPERLINK("https://www.homedepot.com/p/ROBERTS-Heat-Loc-3-11-16-in-x-60-ft-Heat-Bond-Carpet-Seaming-Tape-Roll-50-245/204470708",13.2)</f>
        <v/>
      </c>
      <c r="F12" s="65">
        <f>C12*E12</f>
        <v/>
      </c>
      <c r="G12" s="50" t="n"/>
    </row>
    <row r="13" ht="15" customHeight="1" s="42">
      <c r="A13" s="50" t="inlineStr">
        <is>
          <t>Concrete</t>
        </is>
      </c>
      <c r="B13" s="50" t="inlineStr">
        <is>
          <t>Concrete &amp; mortar filler/sealant (10oz)</t>
        </is>
      </c>
      <c r="C13" s="62" t="n">
        <v>2</v>
      </c>
      <c r="D13" s="63" t="inlineStr">
        <is>
          <t>ea</t>
        </is>
      </c>
      <c r="E13" s="64">
        <f>HYPERLINK("https://www.homedepot.com/p/DAP-10-1-oz-Gray-Concrete-and-Mortar-Filler-and-Latex-Sealant-18096/204167828",8.78)</f>
        <v/>
      </c>
      <c r="F13" s="65">
        <f>C13*E13</f>
        <v/>
      </c>
      <c r="G13" s="50" t="inlineStr">
        <is>
          <t>Phase 1: Individual crack repair</t>
        </is>
      </c>
    </row>
    <row r="14" ht="15" customHeight="1" s="42">
      <c r="A14" s="50" t="inlineStr">
        <is>
          <t>Concrete</t>
        </is>
      </c>
      <c r="B14" s="50" t="inlineStr">
        <is>
          <t>Concrete crack backer rod (3/8")</t>
        </is>
      </c>
      <c r="C14" s="62" t="n">
        <v>1</v>
      </c>
      <c r="D14" s="63" t="inlineStr">
        <is>
          <t>roll</t>
        </is>
      </c>
      <c r="E14" s="64">
        <f>HYPERLINK("https://www.homedepot.com/p/M-D-Building-Products-3-8-in-x-20-ft-Caulk-Backer-Rod-71464/202066517",4.48)</f>
        <v/>
      </c>
      <c r="F14" s="65">
        <f>C14*E14</f>
        <v/>
      </c>
      <c r="G14" s="50" t="n"/>
    </row>
    <row r="15" ht="15" customHeight="1" s="42">
      <c r="A15" s="50" t="inlineStr">
        <is>
          <t>Concrete</t>
        </is>
      </c>
      <c r="B15" s="50" t="inlineStr">
        <is>
          <t>Concrete bonding adhesive</t>
        </is>
      </c>
      <c r="C15" s="62" t="n">
        <v>1</v>
      </c>
      <c r="D15" s="63" t="inlineStr">
        <is>
          <t>gal</t>
        </is>
      </c>
      <c r="E15" s="64">
        <f>HYPERLINK("https://www.homedepot.com/p/Quikrete-1-Qt-Concrete-Bonding-Adhesive-990214/100318541",11.97)</f>
        <v/>
      </c>
      <c r="F15" s="65">
        <f>C15*E15</f>
        <v/>
      </c>
      <c r="G15" s="50" t="n"/>
    </row>
    <row r="16" ht="15" customHeight="1" s="42">
      <c r="A16" s="50" t="inlineStr">
        <is>
          <t>Concrete</t>
        </is>
      </c>
      <c r="B16" s="50" t="inlineStr">
        <is>
          <t>Hydraulic cement (10 lb)</t>
        </is>
      </c>
      <c r="C16" s="62" t="n">
        <v>1</v>
      </c>
      <c r="D16" s="63" t="inlineStr">
        <is>
          <t>bag</t>
        </is>
      </c>
      <c r="E16" s="64">
        <f>HYPERLINK("https://www.homedepot.com/p/Quikrete-10-lb-Hydraulic-Water-Stop-Cement-112611/100318494",14.52)</f>
        <v/>
      </c>
      <c r="F16" s="65">
        <f>C16*E16</f>
        <v/>
      </c>
      <c r="G16" s="50" t="inlineStr">
        <is>
          <t>Wider cracks / spalling</t>
        </is>
      </c>
    </row>
    <row r="17" ht="15" customHeight="1" s="42">
      <c r="A17" s="50" t="inlineStr">
        <is>
          <t>Concrete</t>
        </is>
      </c>
      <c r="B17" s="50" t="inlineStr">
        <is>
          <t>Self-leveling compound (40 lb bag)</t>
        </is>
      </c>
      <c r="C17" s="62" t="n">
        <v>3</v>
      </c>
      <c r="D17" s="63" t="inlineStr">
        <is>
          <t>bag</t>
        </is>
      </c>
      <c r="E17" s="64">
        <f>HYPERLINK("https://www.homedepot.com/p/Henry-555-Level-Pro-40-lb-Self-Leveling-Underlayment-12165/100549588",35.0)</f>
        <v/>
      </c>
      <c r="F17" s="65">
        <f>C17*E17</f>
        <v/>
      </c>
      <c r="G17" s="50" t="inlineStr">
        <is>
          <t>Phase 2 if needed: Full floor ~61 SF</t>
        </is>
      </c>
    </row>
    <row r="18" ht="15" customHeight="1" s="42">
      <c r="A18" s="50" t="inlineStr">
        <is>
          <t>Concrete</t>
        </is>
      </c>
      <c r="B18" s="50" t="inlineStr">
        <is>
          <t>SLC primer / bonding agent (1 gal)</t>
        </is>
      </c>
      <c r="C18" s="62" t="n">
        <v>1</v>
      </c>
      <c r="D18" s="63" t="inlineStr">
        <is>
          <t>gal</t>
        </is>
      </c>
      <c r="E18" s="64">
        <f>HYPERLINK("https://www.homedepot.com/p/Henry-554-Level-Pro-1-Gallon-Indoor-Underlayment-Primer-48967/340501834",27.98)</f>
        <v/>
      </c>
      <c r="F18" s="65">
        <f>C18*E18</f>
        <v/>
      </c>
      <c r="G18" s="50" t="inlineStr">
        <is>
          <t>Required prep for SLC</t>
        </is>
      </c>
    </row>
    <row r="19" ht="15" customHeight="1" s="42">
      <c r="A19" s="50" t="inlineStr">
        <is>
          <t>Drywall</t>
        </is>
      </c>
      <c r="B19" s="50" t="inlineStr">
        <is>
          <t>1/2" x 4'x8' UltraLight drywall</t>
        </is>
      </c>
      <c r="C19" s="62" t="n">
        <v>4</v>
      </c>
      <c r="D19" s="63" t="inlineStr">
        <is>
          <t>sheet</t>
        </is>
      </c>
      <c r="E19" s="64">
        <f>HYPERLINK("https://www.homedepot.com/p/USG-Sheetrock-Brand-1-2-in-x-4-ft-x-8-ft-UltraLight-Drywall-14113411708/202530243",16.68)</f>
        <v/>
      </c>
      <c r="F19" s="65">
        <f>C19*E19</f>
        <v/>
      </c>
      <c r="G19" s="50" t="n"/>
    </row>
    <row r="20" ht="15" customHeight="1" s="42">
      <c r="A20" s="50" t="inlineStr">
        <is>
          <t>Drywall</t>
        </is>
      </c>
      <c r="B20" s="50" t="inlineStr">
        <is>
          <t>Drywall screws 1-1/4" coarse (1 lb)</t>
        </is>
      </c>
      <c r="C20" s="62" t="n">
        <v>2</v>
      </c>
      <c r="D20" s="63" t="inlineStr">
        <is>
          <t>box</t>
        </is>
      </c>
      <c r="E20" s="64">
        <f>HYPERLINK("https://www.homedepot.com/p/Grip-Rite-6-x-1-1-4-in-Philips-Bugle-Head-Coarse-Thread-Sharp-Point-Drywall-Screws-1-lb-Pack-114CDWS1/100153837",6.97)</f>
        <v/>
      </c>
      <c r="F20" s="65">
        <f>C20*E20</f>
        <v/>
      </c>
      <c r="G20" s="50" t="n"/>
    </row>
    <row r="21" ht="15" customHeight="1" s="42">
      <c r="A21" s="50" t="inlineStr">
        <is>
          <t>Drywall</t>
        </is>
      </c>
      <c r="B21" s="50" t="inlineStr">
        <is>
          <t>Paper drywall tape (250 ft)</t>
        </is>
      </c>
      <c r="C21" s="62" t="n">
        <v>1</v>
      </c>
      <c r="D21" s="63" t="inlineStr">
        <is>
          <t>roll</t>
        </is>
      </c>
      <c r="E21" s="64">
        <f>HYPERLINK("https://www.homedepot.com/p/USG-Sheetrock-Brand-2-1-16-in-x-250-ft-Paper-Joint-Tape-382175/100321614",4.88)</f>
        <v/>
      </c>
      <c r="F21" s="65">
        <f>C21*E21</f>
        <v/>
      </c>
      <c r="G21" s="50" t="n"/>
    </row>
    <row r="22" ht="15" customHeight="1" s="42">
      <c r="A22" s="50" t="inlineStr">
        <is>
          <t>Drywall</t>
        </is>
      </c>
      <c r="B22" s="50" t="inlineStr">
        <is>
          <t>All-purpose joint compound (4.5 gal)</t>
        </is>
      </c>
      <c r="C22" s="62" t="n">
        <v>1</v>
      </c>
      <c r="D22" s="63" t="inlineStr">
        <is>
          <t>bucket</t>
        </is>
      </c>
      <c r="E22" s="64">
        <f>HYPERLINK("https://www.homedepot.com/p/USG-Sheetrock-Brand-4-5-Gal-All-Purpose-Pre-Mixed-Joint-Compound-380501/100321602",20.58)</f>
        <v/>
      </c>
      <c r="F22" s="65">
        <f>C22*E22</f>
        <v/>
      </c>
      <c r="G22" s="50" t="n"/>
    </row>
    <row r="23" ht="15" customHeight="1" s="42">
      <c r="A23" s="50" t="inlineStr">
        <is>
          <t>Drywall</t>
        </is>
      </c>
      <c r="B23" s="50" t="inlineStr">
        <is>
          <t>Lightweight finishing compound (4.5 gal)</t>
        </is>
      </c>
      <c r="C23" s="62" t="n">
        <v>1</v>
      </c>
      <c r="D23" s="63" t="inlineStr">
        <is>
          <t>bucket</t>
        </is>
      </c>
      <c r="E23" s="64">
        <f>HYPERLINK("https://www.homedepot.com/p/USG-Sheetrock-Brand-4-5-Gal-Plus-3-Lightweight-All-Purpose-Pre-Mixed-Joint-Compound-381466/100321604",23.68)</f>
        <v/>
      </c>
      <c r="F23" s="65">
        <f>C23*E23</f>
        <v/>
      </c>
      <c r="G23" s="50" t="n"/>
    </row>
    <row r="24" ht="15" customHeight="1" s="42">
      <c r="A24" s="50" t="inlineStr">
        <is>
          <t>Drywall</t>
        </is>
      </c>
      <c r="B24" s="50" t="inlineStr">
        <is>
          <t>Sanding sponge (med/fine)</t>
        </is>
      </c>
      <c r="C24" s="62" t="n">
        <v>3</v>
      </c>
      <c r="D24" s="63" t="inlineStr">
        <is>
          <t>ea</t>
        </is>
      </c>
      <c r="E24" s="64">
        <f>HYPERLINK("https://www.homedepot.com/p/3M-2-7-8-in-x-4-7-8-in-x-1-in-Fine-Medium-Drywall-Sanding-Sponge-9093DCNA/100353968",4.97)</f>
        <v/>
      </c>
      <c r="F24" s="65">
        <f>C24*E24</f>
        <v/>
      </c>
      <c r="G24" s="50" t="n"/>
    </row>
    <row r="25" ht="15" customHeight="1" s="42">
      <c r="A25" s="50" t="inlineStr">
        <is>
          <t>Trim</t>
        </is>
      </c>
      <c r="B25" s="50" t="inlineStr">
        <is>
          <t>Baseboard - 3-1/4" MDF primed (8ft)</t>
        </is>
      </c>
      <c r="C25" s="62" t="n">
        <v>6</v>
      </c>
      <c r="D25" s="63" t="inlineStr">
        <is>
          <t>piece</t>
        </is>
      </c>
      <c r="E25" s="64">
        <f>HYPERLINK("https://www.homedepot.com/p/Woodgrain-Millwork-623-1-2-in-x-3-1-4-in-x-96-in-Primed-MDF-Baseboard-Moulding-1-Piece-8-Total-Linear-Feet-10001007/203209370",6.51)</f>
        <v/>
      </c>
      <c r="F25" s="65">
        <f>C25*E25</f>
        <v/>
      </c>
      <c r="G25" s="50" t="inlineStr">
        <is>
          <t>~42 LF full perimeter</t>
        </is>
      </c>
    </row>
    <row r="26" ht="15" customHeight="1" s="42">
      <c r="A26" s="50" t="inlineStr">
        <is>
          <t>Trim</t>
        </is>
      </c>
      <c r="B26" s="50" t="inlineStr">
        <is>
          <t>Plinth blocks (MDF primed)</t>
        </is>
      </c>
      <c r="C26" s="62" t="n">
        <v>6</v>
      </c>
      <c r="D26" s="63" t="inlineStr">
        <is>
          <t>ea</t>
        </is>
      </c>
      <c r="E26" s="64">
        <f>HYPERLINK("https://www.homedepot.com/p/House-of-Fara-3-4-in-x-3-1-4-in-x-3-1-4-in-MDF-Primed-Plinth-Block-8621/205426918",3.98)</f>
        <v/>
      </c>
      <c r="F26" s="65">
        <f>C26*E26</f>
        <v/>
      </c>
      <c r="G26" s="50" t="n"/>
    </row>
    <row r="27" ht="15" customHeight="1" s="42">
      <c r="A27" s="50" t="inlineStr">
        <is>
          <t>Trim</t>
        </is>
      </c>
      <c r="B27" s="50" t="inlineStr">
        <is>
          <t>18ga 2" brad nails (1000ct)</t>
        </is>
      </c>
      <c r="C27" s="62" t="n">
        <v>1</v>
      </c>
      <c r="D27" s="63" t="inlineStr">
        <is>
          <t>box</t>
        </is>
      </c>
      <c r="E27" s="64">
        <f>HYPERLINK("https://www.homedepot.com/p/Grip-Rite-2-in-18-Gauge-Brad-Nails-1000-Pack-GRF18200/202308594",7.98)</f>
        <v/>
      </c>
      <c r="F27" s="65">
        <f>C27*E27</f>
        <v/>
      </c>
      <c r="G27" s="50" t="n"/>
    </row>
    <row r="28" ht="15" customHeight="1" s="42">
      <c r="A28" s="50" t="inlineStr">
        <is>
          <t>Trim</t>
        </is>
      </c>
      <c r="B28" s="50" t="inlineStr">
        <is>
          <t>Paintable latex caulk</t>
        </is>
      </c>
      <c r="C28" s="62" t="n">
        <v>2</v>
      </c>
      <c r="D28" s="63" t="inlineStr">
        <is>
          <t>tube</t>
        </is>
      </c>
      <c r="E28" s="64">
        <f>HYPERLINK("https://www.homedepot.com/p/DAP-Alex-Plus-10-1-oz-White-Acrylic-Latex-Caulk-Plus-Silicone-18103/100097524",3.98)</f>
        <v/>
      </c>
      <c r="F28" s="65">
        <f>C28*E28</f>
        <v/>
      </c>
      <c r="G28" s="50" t="n"/>
    </row>
    <row r="29" ht="15" customHeight="1" s="42">
      <c r="A29" s="50" t="inlineStr">
        <is>
          <t>Trim</t>
        </is>
      </c>
      <c r="B29" s="50" t="inlineStr">
        <is>
          <t>Wood filler / spackle</t>
        </is>
      </c>
      <c r="C29" s="62" t="n">
        <v>1</v>
      </c>
      <c r="D29" s="63" t="inlineStr">
        <is>
          <t>tube</t>
        </is>
      </c>
      <c r="E29" s="64">
        <f>HYPERLINK("https://www.homedepot.com/p/DAP-Plastic-Wood-X-with-DryDex-5-5-oz-All-Purpose-Wood-Filler-00540/206667344",7.98)</f>
        <v/>
      </c>
      <c r="F29" s="65">
        <f>C29*E29</f>
        <v/>
      </c>
      <c r="G29" s="50" t="n"/>
    </row>
    <row r="30" ht="15" customHeight="1" s="42">
      <c r="A30" s="50" t="inlineStr">
        <is>
          <t>Texture</t>
        </is>
      </c>
      <c r="B30" s="50" t="inlineStr">
        <is>
          <t>Spray texture - orange peel (20oz)</t>
        </is>
      </c>
      <c r="C30" s="62" t="n">
        <v>3</v>
      </c>
      <c r="D30" s="63" t="inlineStr">
        <is>
          <t>can</t>
        </is>
      </c>
      <c r="E30" s="64">
        <f>HYPERLINK("https://www.homedepot.com/p/Homax-20-oz-Wall-Orange-Peel-Low-Odor-Water-Based-Texture-Spray-Paint-4092-06/100154309",16.98)</f>
        <v/>
      </c>
      <c r="F30" s="65">
        <f>C30*E30</f>
        <v/>
      </c>
      <c r="G30" s="50" t="inlineStr">
        <is>
          <t>Match existing</t>
        </is>
      </c>
    </row>
    <row r="31" ht="15" customHeight="1" s="42">
      <c r="A31" s="50" t="inlineStr">
        <is>
          <t>Paint</t>
        </is>
      </c>
      <c r="B31" s="50" t="inlineStr">
        <is>
          <t>Zinsser Bulls Eye 1-2-3 Primer (1 gal)</t>
        </is>
      </c>
      <c r="C31" s="62" t="n">
        <v>1</v>
      </c>
      <c r="D31" s="63" t="inlineStr">
        <is>
          <t>gal</t>
        </is>
      </c>
      <c r="E31" s="64">
        <f>HYPERLINK("https://www.homedepot.com/p/Zinsser-Bulls-Eye-1-2-3-1-Gal-White-Water-Based-Interior-Exterior-Primer-and-Sealer-2001/100398391",28.98)</f>
        <v/>
      </c>
      <c r="F31" s="65">
        <f>C31*E31</f>
        <v/>
      </c>
      <c r="G31" s="50" t="n"/>
    </row>
    <row r="32" ht="15" customHeight="1" s="42">
      <c r="A32" s="50" t="inlineStr">
        <is>
          <t>Paint</t>
        </is>
      </c>
      <c r="B32" s="50" t="inlineStr">
        <is>
          <t>BEHR Marquee interior paint - eggshell (1 gal)</t>
        </is>
      </c>
      <c r="C32" s="62" t="n">
        <v>2</v>
      </c>
      <c r="D32" s="63" t="inlineStr">
        <is>
          <t>gal</t>
        </is>
      </c>
      <c r="E32" s="64">
        <f>HYPERLINK("https://www.homedepot.com/p/BEHR-MARQUEE-1-gal-Ultra-Pure-White-Eggshell-Enamel-Interior-Paint-Primer-245001/204747490",54.98)</f>
        <v/>
      </c>
      <c r="F32" s="65">
        <f>C32*E32</f>
        <v/>
      </c>
      <c r="G32" s="50" t="inlineStr">
        <is>
          <t>All walls, 2 coats</t>
        </is>
      </c>
    </row>
    <row r="33" ht="15" customHeight="1" s="42">
      <c r="A33" s="50" t="inlineStr">
        <is>
          <t>Paint</t>
        </is>
      </c>
      <c r="B33" s="50" t="inlineStr">
        <is>
          <t>BEHR Marquee semi-gloss trim paint (1 qt)</t>
        </is>
      </c>
      <c r="C33" s="62" t="n">
        <v>1</v>
      </c>
      <c r="D33" s="63" t="inlineStr">
        <is>
          <t>qt</t>
        </is>
      </c>
      <c r="E33" s="64">
        <f>HYPERLINK("https://www.homedepot.com/p/BEHR-MARQUEE-1-qt-Ultra-Pure-White-Semi-Gloss-Enamel-Interior-Paint-Primer-345004/204747525",23.98)</f>
        <v/>
      </c>
      <c r="F33" s="65">
        <f>C33*E33</f>
        <v/>
      </c>
      <c r="G33" s="50" t="n"/>
    </row>
    <row r="34" ht="15" customHeight="1" s="42">
      <c r="A34" s="50" t="inlineStr">
        <is>
          <t>Paint</t>
        </is>
      </c>
      <c r="B34" s="50" t="inlineStr">
        <is>
          <t>Paint supplies (rollers, brush, tape)</t>
        </is>
      </c>
      <c r="C34" s="62" t="n">
        <v>1</v>
      </c>
      <c r="D34" s="63" t="inlineStr">
        <is>
          <t>kit</t>
        </is>
      </c>
      <c r="E34" s="64">
        <f>HYPERLINK("https://www.homedepot.com/p/Wooster-9-in-x-3-8-in-Pro-American-Contractor-High-Density-Knit-Roller-Cover-3-Pack-0-RC660-9/205625717",11.97)</f>
        <v/>
      </c>
      <c r="F34" s="65">
        <f>C34*E34</f>
        <v/>
      </c>
      <c r="G34" s="50" t="inlineStr">
        <is>
          <t>AUDIT: Roller covers SKU may be superseded</t>
        </is>
      </c>
    </row>
    <row r="35" ht="15" customHeight="1" s="42">
      <c r="A35" s="50" t="inlineStr">
        <is>
          <t>Supplies</t>
        </is>
      </c>
      <c r="B35" s="50" t="inlineStr">
        <is>
          <t>Plastic sheeting / drop cloths</t>
        </is>
      </c>
      <c r="C35" s="62" t="n">
        <v>1</v>
      </c>
      <c r="D35" s="63" t="inlineStr">
        <is>
          <t>pack</t>
        </is>
      </c>
      <c r="E35" s="64">
        <f>HYPERLINK("https://www.homedepot.com/p/HDX-9-ft-x-12-ft-0-7-mil-Drop-Cloth-2-Pack-DCHD-07-2/202528629",6.98)</f>
        <v/>
      </c>
      <c r="F35" s="65">
        <f>C35*E35</f>
        <v/>
      </c>
      <c r="G35" s="50" t="inlineStr">
        <is>
          <t>AUDIT: Drop cloth SKU not found in search</t>
        </is>
      </c>
    </row>
    <row r="36" ht="15" customHeight="1" s="42">
      <c r="A36" s="50" t="inlineStr">
        <is>
          <t>Supplies</t>
        </is>
      </c>
      <c r="B36" s="50" t="inlineStr">
        <is>
          <t>Disposal / debris hauling</t>
        </is>
      </c>
      <c r="C36" s="62" t="n">
        <v>1</v>
      </c>
      <c r="D36" s="63" t="inlineStr">
        <is>
          <t>flat</t>
        </is>
      </c>
      <c r="E36" s="65" t="n">
        <v>60</v>
      </c>
      <c r="F36" s="65">
        <f>C36*E36</f>
        <v/>
      </c>
      <c r="G36" s="50" t="inlineStr">
        <is>
          <t>Old materials removal</t>
        </is>
      </c>
    </row>
    <row r="37" ht="15" customHeight="1" s="42">
      <c r="A37" s="66" t="inlineStr">
        <is>
          <t>&gt;&gt;&gt; OWNER-PERFORMED LABOR (valued at contractor equivalent rates)</t>
        </is>
      </c>
      <c r="B37" s="67" t="n"/>
      <c r="C37" s="67" t="n"/>
      <c r="D37" s="67" t="n"/>
      <c r="E37" s="67" t="n"/>
      <c r="F37" s="67" t="n"/>
      <c r="G37" s="68" t="n"/>
    </row>
    <row r="38" ht="15" customHeight="1" s="42">
      <c r="A38" s="69" t="inlineStr">
        <is>
          <t>Owner Labor</t>
        </is>
      </c>
      <c r="B38" s="69" t="inlineStr">
        <is>
          <t>Carpet &amp; pad removal (old)</t>
        </is>
      </c>
      <c r="C38" s="70" t="n">
        <v>61</v>
      </c>
      <c r="D38" s="71" t="inlineStr">
        <is>
          <t>SF</t>
        </is>
      </c>
      <c r="E38" s="72" t="n">
        <v>0.85</v>
      </c>
      <c r="F38" s="72">
        <f>C38*E38</f>
        <v/>
      </c>
      <c r="G38" s="69" t="inlineStr">
        <is>
          <t>See Pricing Sources tab</t>
        </is>
      </c>
    </row>
    <row r="39" ht="15" customHeight="1" s="42">
      <c r="A39" s="69" t="inlineStr">
        <is>
          <t>Owner Labor</t>
        </is>
      </c>
      <c r="B39" s="69" t="inlineStr">
        <is>
          <t>Drywall - hang, tape, mud, sand</t>
        </is>
      </c>
      <c r="C39" s="70" t="n">
        <v>100</v>
      </c>
      <c r="D39" s="71" t="inlineStr">
        <is>
          <t>SF</t>
        </is>
      </c>
      <c r="E39" s="72" t="n">
        <v>2.75</v>
      </c>
      <c r="F39" s="72">
        <f>C39*E39</f>
        <v/>
      </c>
      <c r="G39" s="69" t="inlineStr">
        <is>
          <t>See Pricing Sources tab</t>
        </is>
      </c>
    </row>
    <row r="40" ht="15" customHeight="1" s="42">
      <c r="A40" s="69" t="inlineStr">
        <is>
          <t>Owner Labor</t>
        </is>
      </c>
      <c r="B40" s="69" t="inlineStr">
        <is>
          <t>Texture application</t>
        </is>
      </c>
      <c r="C40" s="70" t="n">
        <v>100</v>
      </c>
      <c r="D40" s="71" t="inlineStr">
        <is>
          <t>SF</t>
        </is>
      </c>
      <c r="E40" s="72" t="n">
        <v>1.5</v>
      </c>
      <c r="F40" s="72">
        <f>C40*E40</f>
        <v/>
      </c>
      <c r="G40" s="69" t="inlineStr">
        <is>
          <t>See Pricing Sources tab</t>
        </is>
      </c>
    </row>
    <row r="41" ht="15" customHeight="1" s="42">
      <c r="A41" s="69" t="inlineStr">
        <is>
          <t>Owner Labor</t>
        </is>
      </c>
      <c r="B41" s="69" t="inlineStr">
        <is>
          <t>Baseboard removal &amp; installation</t>
        </is>
      </c>
      <c r="C41" s="70" t="n">
        <v>42</v>
      </c>
      <c r="D41" s="71" t="inlineStr">
        <is>
          <t>LF</t>
        </is>
      </c>
      <c r="E41" s="72" t="n">
        <v>8.25</v>
      </c>
      <c r="F41" s="72">
        <f>C41*E41</f>
        <v/>
      </c>
      <c r="G41" s="69" t="inlineStr">
        <is>
          <t>See Pricing Sources tab</t>
        </is>
      </c>
    </row>
    <row r="42" ht="15" customHeight="1" s="42">
      <c r="A42" s="69" t="inlineStr">
        <is>
          <t>Owner Labor</t>
        </is>
      </c>
      <c r="B42" s="69" t="inlineStr">
        <is>
          <t>Paint - all walls + trim</t>
        </is>
      </c>
      <c r="C42" s="70" t="n">
        <v>280</v>
      </c>
      <c r="D42" s="71" t="inlineStr">
        <is>
          <t>SF</t>
        </is>
      </c>
      <c r="E42" s="72" t="n">
        <v>1.75</v>
      </c>
      <c r="F42" s="72">
        <f>C42*E42</f>
        <v/>
      </c>
      <c r="G42" s="69" t="inlineStr">
        <is>
          <t>See Pricing Sources tab</t>
        </is>
      </c>
    </row>
    <row r="43" ht="15" customHeight="1" s="42">
      <c r="A43" s="73" t="inlineStr">
        <is>
          <t>&gt;&gt;&gt; SUBCONTRACTOR LABOR</t>
        </is>
      </c>
      <c r="B43" s="67" t="n"/>
      <c r="C43" s="67" t="n"/>
      <c r="D43" s="67" t="n"/>
      <c r="E43" s="67" t="n"/>
      <c r="F43" s="67" t="n"/>
      <c r="G43" s="68" t="n"/>
    </row>
    <row r="44" ht="15" customHeight="1" s="42">
      <c r="A44" s="74" t="inlineStr">
        <is>
          <t>Sub Labor</t>
        </is>
      </c>
      <c r="B44" s="74" t="inlineStr">
        <is>
          <t>Carpet &amp; pad installation (professional)</t>
        </is>
      </c>
      <c r="C44" s="75" t="n">
        <v>61</v>
      </c>
      <c r="D44" s="76" t="inlineStr">
        <is>
          <t>SF</t>
        </is>
      </c>
      <c r="E44" s="77" t="n">
        <v>2</v>
      </c>
      <c r="F44" s="77">
        <f>C44*E44</f>
        <v/>
      </c>
      <c r="G44" s="74" t="inlineStr">
        <is>
          <t>See Pricing Sources tab</t>
        </is>
      </c>
    </row>
    <row r="45" ht="15" customHeight="1" s="42">
      <c r="A45" s="74" t="inlineStr">
        <is>
          <t>Sub Labor</t>
        </is>
      </c>
      <c r="B45" s="74" t="inlineStr">
        <is>
          <t>Concrete crack repair</t>
        </is>
      </c>
      <c r="C45" s="75" t="n">
        <v>15</v>
      </c>
      <c r="D45" s="76" t="inlineStr">
        <is>
          <t>LF</t>
        </is>
      </c>
      <c r="E45" s="77" t="n">
        <v>8</v>
      </c>
      <c r="F45" s="77">
        <f>C45*E45</f>
        <v/>
      </c>
      <c r="G45" s="74" t="inlineStr">
        <is>
          <t>Phase 1</t>
        </is>
      </c>
    </row>
    <row r="46" ht="15" customHeight="1" s="42">
      <c r="A46" s="74" t="inlineStr">
        <is>
          <t>Sub Labor</t>
        </is>
      </c>
      <c r="B46" s="74" t="inlineStr">
        <is>
          <t>Concrete self-leveling application</t>
        </is>
      </c>
      <c r="C46" s="75" t="n">
        <v>61</v>
      </c>
      <c r="D46" s="76" t="inlineStr">
        <is>
          <t>SF</t>
        </is>
      </c>
      <c r="E46" s="77" t="n">
        <v>3.5</v>
      </c>
      <c r="F46" s="77">
        <f>C46*E46</f>
        <v/>
      </c>
      <c r="G46" s="74" t="inlineStr">
        <is>
          <t>Phase 2 if needed</t>
        </is>
      </c>
    </row>
    <row r="47" ht="15" customHeight="1" s="42">
      <c r="A47" s="78" t="inlineStr">
        <is>
          <t>Room Subtotal</t>
        </is>
      </c>
      <c r="B47" s="54" t="n"/>
      <c r="C47" s="54" t="n"/>
      <c r="D47" s="54" t="n"/>
      <c r="E47" s="55" t="n"/>
      <c r="F47" s="79">
        <f>SUM(F9:F46)</f>
        <v/>
      </c>
      <c r="G47" s="80" t="n"/>
    </row>
  </sheetData>
  <mergeCells count="5">
    <mergeCell ref="A1:G1"/>
    <mergeCell ref="B5:G5"/>
    <mergeCell ref="A47:E47"/>
    <mergeCell ref="A43:G43"/>
    <mergeCell ref="A37:G37"/>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tabColor rgb="FF2E75B6"/>
    <outlinePr summaryBelow="1" summaryRight="1"/>
    <pageSetUpPr fitToPage="0"/>
  </sheetPr>
  <dimension ref="A1:G52"/>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41" min="1" max="1"/>
    <col width="44" customWidth="1" style="41" min="2" max="2"/>
    <col width="8" customWidth="1" style="41" min="3" max="4"/>
    <col width="12" customWidth="1" style="41" min="5" max="5"/>
    <col width="14" customWidth="1" style="41" min="6" max="6"/>
    <col width="44" customWidth="1" style="41" min="7" max="7"/>
  </cols>
  <sheetData>
    <row r="1" ht="17.25" customHeight="1" s="42">
      <c r="A1" s="61" t="inlineStr">
        <is>
          <t>Claim 20-2023-700 - Family Room</t>
        </is>
      </c>
    </row>
    <row r="3" ht="15" customHeight="1" s="42">
      <c r="A3" s="44" t="inlineStr">
        <is>
          <t>Room:</t>
        </is>
      </c>
      <c r="B3" s="58" t="inlineStr">
        <is>
          <t>Family Room</t>
        </is>
      </c>
    </row>
    <row r="4" ht="15" customHeight="1" s="42">
      <c r="A4" s="44" t="inlineStr">
        <is>
          <t>Dimensions:</t>
        </is>
      </c>
      <c r="B4" s="58" t="inlineStr">
        <is>
          <t>14' x 3'3" + offset 3'1" x 4'10"</t>
        </is>
      </c>
    </row>
    <row r="5" ht="15" customHeight="1" s="42">
      <c r="A5" s="44" t="inlineStr">
        <is>
          <t>Areas of Repair:</t>
        </is>
      </c>
      <c r="B5" s="45" t="inlineStr">
        <is>
          <t>Full area: LifeProof carpet &amp; pad, concrete crack repair &amp; leveling, drywall, wall paneling, all baseboard, texture, paint all walls</t>
        </is>
      </c>
    </row>
    <row r="6" ht="15" customHeight="1" s="42">
      <c r="A6" s="44" t="inlineStr">
        <is>
          <t>Work Completed:</t>
        </is>
      </c>
      <c r="B6" s="58" t="inlineStr">
        <is>
          <t>Floor demo, mold treatment completed</t>
        </is>
      </c>
    </row>
    <row r="8" ht="26.25" customHeight="1" s="42">
      <c r="A8" s="48" t="inlineStr">
        <is>
          <t>Category</t>
        </is>
      </c>
      <c r="B8" s="48" t="inlineStr">
        <is>
          <t>Material / Item</t>
        </is>
      </c>
      <c r="C8" s="48" t="inlineStr">
        <is>
          <t>Qty</t>
        </is>
      </c>
      <c r="D8" s="48" t="inlineStr">
        <is>
          <t>Unit</t>
        </is>
      </c>
      <c r="E8" s="48" t="inlineStr">
        <is>
          <t>Unit Cost</t>
        </is>
      </c>
      <c r="F8" s="48" t="inlineStr">
        <is>
          <t>Extended Cost</t>
        </is>
      </c>
      <c r="G8" s="48" t="inlineStr">
        <is>
          <t>Notes</t>
        </is>
      </c>
    </row>
    <row r="9" ht="15" customHeight="1" s="42">
      <c r="A9" s="50" t="inlineStr">
        <is>
          <t>Flooring</t>
        </is>
      </c>
      <c r="B9" s="50" t="inlineStr">
        <is>
          <t>LifeProof w/ Petproof Technology - low pile carpet</t>
        </is>
      </c>
      <c r="C9" s="62" t="n">
        <v>61</v>
      </c>
      <c r="D9" s="63" t="inlineStr">
        <is>
          <t>SF</t>
        </is>
      </c>
      <c r="E9" s="64">
        <f>HYPERLINK("https://www.homedepot.com/b/Flooring-Carpet/Lifeproof-with-Petproof-Technology/N-5yc1vZarl0Zs7d",5.49)</f>
        <v/>
      </c>
      <c r="F9" s="65">
        <f>C9*E9</f>
        <v/>
      </c>
      <c r="G9" s="50" t="inlineStr">
        <is>
          <t>Triexta, lifetime pet-stain warranty, 25yr wear; AUDIT: URL is category page, not specific product SKU</t>
        </is>
      </c>
    </row>
    <row r="10" ht="15" customHeight="1" s="42">
      <c r="A10" s="50" t="inlineStr">
        <is>
          <t>Flooring</t>
        </is>
      </c>
      <c r="B10" s="50" t="inlineStr">
        <is>
          <t>LifeProof 1/2" Premium Comfort Foam pad (SpillSafe)</t>
        </is>
      </c>
      <c r="C10" s="62" t="n">
        <v>61</v>
      </c>
      <c r="D10" s="63" t="inlineStr">
        <is>
          <t>SF</t>
        </is>
      </c>
      <c r="E10" s="64">
        <f>HYPERLINK("https://www.homedepot.com/p/Lifeproof-1-2-in-Thick-Premium-Comfort-Foam-Carpet-Pad-with-Double-Sided-Waterproof-SpillSafe-Membrane-100502850-04/316061675",1.35)</f>
        <v/>
      </c>
      <c r="F10" s="65">
        <f>C10*E10</f>
        <v/>
      </c>
      <c r="G10" s="50" t="inlineStr">
        <is>
          <t>Double-sided waterproof moisture barrier</t>
        </is>
      </c>
    </row>
    <row r="11" ht="15" customHeight="1" s="42">
      <c r="A11" s="50" t="inlineStr">
        <is>
          <t>Flooring</t>
        </is>
      </c>
      <c r="B11" s="50" t="inlineStr">
        <is>
          <t>Tack strips</t>
        </is>
      </c>
      <c r="C11" s="62" t="n">
        <v>42</v>
      </c>
      <c r="D11" s="63" t="inlineStr">
        <is>
          <t>LF</t>
        </is>
      </c>
      <c r="E11" s="64">
        <f>HYPERLINK("https://www.homedepot.com/p/Halex-Poplar-7-8-in-x-4-ft-Carpet-Tack-Strip-for-Wood-or-Concrete-Subfloors-3-Pack-HD-161-P-8/203301578",0.29)</f>
        <v/>
      </c>
      <c r="F11" s="65">
        <f>C11*E11</f>
        <v/>
      </c>
      <c r="G11" s="50" t="inlineStr">
        <is>
          <t>Full room perimeter</t>
        </is>
      </c>
    </row>
    <row r="12" ht="15" customHeight="1" s="42">
      <c r="A12" s="50" t="inlineStr">
        <is>
          <t>Flooring</t>
        </is>
      </c>
      <c r="B12" s="50" t="inlineStr">
        <is>
          <t>Carpet seam tape</t>
        </is>
      </c>
      <c r="C12" s="62" t="n">
        <v>1</v>
      </c>
      <c r="D12" s="63" t="inlineStr">
        <is>
          <t>roll</t>
        </is>
      </c>
      <c r="E12" s="64">
        <f>HYPERLINK("https://www.homedepot.com/p/ROBERTS-Heat-Loc-3-11-16-in-x-60-ft-Heat-Bond-Carpet-Seaming-Tape-Roll-50-245/204470708",13.2)</f>
        <v/>
      </c>
      <c r="F12" s="65">
        <f>C12*E12</f>
        <v/>
      </c>
      <c r="G12" s="50" t="n"/>
    </row>
    <row r="13" ht="15" customHeight="1" s="42">
      <c r="A13" s="50" t="inlineStr">
        <is>
          <t>Concrete</t>
        </is>
      </c>
      <c r="B13" s="50" t="inlineStr">
        <is>
          <t>Concrete &amp; mortar filler/sealant (10oz)</t>
        </is>
      </c>
      <c r="C13" s="62" t="n">
        <v>2</v>
      </c>
      <c r="D13" s="63" t="inlineStr">
        <is>
          <t>ea</t>
        </is>
      </c>
      <c r="E13" s="64">
        <f>HYPERLINK("https://www.homedepot.com/p/DAP-10-1-oz-Gray-Concrete-and-Mortar-Filler-and-Latex-Sealant-18096/204167828",8.78)</f>
        <v/>
      </c>
      <c r="F13" s="65">
        <f>C13*E13</f>
        <v/>
      </c>
      <c r="G13" s="50" t="inlineStr">
        <is>
          <t>Phase 1: Individual crack repair</t>
        </is>
      </c>
    </row>
    <row r="14" ht="15" customHeight="1" s="42">
      <c r="A14" s="50" t="inlineStr">
        <is>
          <t>Concrete</t>
        </is>
      </c>
      <c r="B14" s="50" t="inlineStr">
        <is>
          <t>Concrete crack backer rod (3/8")</t>
        </is>
      </c>
      <c r="C14" s="62" t="n">
        <v>1</v>
      </c>
      <c r="D14" s="63" t="inlineStr">
        <is>
          <t>roll</t>
        </is>
      </c>
      <c r="E14" s="64">
        <f>HYPERLINK("https://www.homedepot.com/p/M-D-Building-Products-3-8-in-x-20-ft-Caulk-Backer-Rod-71464/202066517",4.48)</f>
        <v/>
      </c>
      <c r="F14" s="65">
        <f>C14*E14</f>
        <v/>
      </c>
      <c r="G14" s="50" t="n"/>
    </row>
    <row r="15" ht="15" customHeight="1" s="42">
      <c r="A15" s="50" t="inlineStr">
        <is>
          <t>Concrete</t>
        </is>
      </c>
      <c r="B15" s="50" t="inlineStr">
        <is>
          <t>Concrete bonding adhesive</t>
        </is>
      </c>
      <c r="C15" s="62" t="n">
        <v>1</v>
      </c>
      <c r="D15" s="63" t="inlineStr">
        <is>
          <t>gal</t>
        </is>
      </c>
      <c r="E15" s="64">
        <f>HYPERLINK("https://www.homedepot.com/p/Quikrete-1-Qt-Concrete-Bonding-Adhesive-990214/100318541",11.97)</f>
        <v/>
      </c>
      <c r="F15" s="65">
        <f>C15*E15</f>
        <v/>
      </c>
      <c r="G15" s="50" t="n"/>
    </row>
    <row r="16" ht="15" customHeight="1" s="42">
      <c r="A16" s="50" t="inlineStr">
        <is>
          <t>Concrete</t>
        </is>
      </c>
      <c r="B16" s="50" t="inlineStr">
        <is>
          <t>Hydraulic cement (10 lb)</t>
        </is>
      </c>
      <c r="C16" s="62" t="n">
        <v>1</v>
      </c>
      <c r="D16" s="63" t="inlineStr">
        <is>
          <t>bag</t>
        </is>
      </c>
      <c r="E16" s="64">
        <f>HYPERLINK("https://www.homedepot.com/p/Quikrete-10-lb-Hydraulic-Water-Stop-Cement-112611/100318494",14.52)</f>
        <v/>
      </c>
      <c r="F16" s="65">
        <f>C16*E16</f>
        <v/>
      </c>
      <c r="G16" s="50" t="inlineStr">
        <is>
          <t>Wider cracks / spalling</t>
        </is>
      </c>
    </row>
    <row r="17" ht="15" customHeight="1" s="42">
      <c r="A17" s="50" t="inlineStr">
        <is>
          <t>Concrete</t>
        </is>
      </c>
      <c r="B17" s="50" t="inlineStr">
        <is>
          <t>Self-leveling compound (40 lb bag)</t>
        </is>
      </c>
      <c r="C17" s="62" t="n">
        <v>3</v>
      </c>
      <c r="D17" s="63" t="inlineStr">
        <is>
          <t>bag</t>
        </is>
      </c>
      <c r="E17" s="64">
        <f>HYPERLINK("https://www.homedepot.com/p/Henry-555-Level-Pro-40-lb-Self-Leveling-Underlayment-12165/100549588",35.0)</f>
        <v/>
      </c>
      <c r="F17" s="65">
        <f>C17*E17</f>
        <v/>
      </c>
      <c r="G17" s="50" t="inlineStr">
        <is>
          <t>Phase 2 if needed: Full floor ~61 SF</t>
        </is>
      </c>
    </row>
    <row r="18" ht="15" customHeight="1" s="42">
      <c r="A18" s="50" t="inlineStr">
        <is>
          <t>Concrete</t>
        </is>
      </c>
      <c r="B18" s="50" t="inlineStr">
        <is>
          <t>SLC primer / bonding agent (1 gal)</t>
        </is>
      </c>
      <c r="C18" s="62" t="n">
        <v>1</v>
      </c>
      <c r="D18" s="63" t="inlineStr">
        <is>
          <t>gal</t>
        </is>
      </c>
      <c r="E18" s="64">
        <f>HYPERLINK("https://www.homedepot.com/p/Henry-554-Level-Pro-1-Gallon-Indoor-Underlayment-Primer-48967/340501834",27.98)</f>
        <v/>
      </c>
      <c r="F18" s="65">
        <f>C18*E18</f>
        <v/>
      </c>
      <c r="G18" s="50" t="inlineStr">
        <is>
          <t>Required prep for SLC</t>
        </is>
      </c>
    </row>
    <row r="19" ht="15" customHeight="1" s="42">
      <c r="A19" s="50" t="inlineStr">
        <is>
          <t>Drywall</t>
        </is>
      </c>
      <c r="B19" s="50" t="inlineStr">
        <is>
          <t>1/2" x 4'x8' UltraLight drywall</t>
        </is>
      </c>
      <c r="C19" s="62" t="n">
        <v>4</v>
      </c>
      <c r="D19" s="63" t="inlineStr">
        <is>
          <t>sheet</t>
        </is>
      </c>
      <c r="E19" s="64">
        <f>HYPERLINK("https://www.homedepot.com/p/USG-Sheetrock-Brand-1-2-in-x-4-ft-x-8-ft-UltraLight-Drywall-14113411708/202530243",16.68)</f>
        <v/>
      </c>
      <c r="F19" s="65">
        <f>C19*E19</f>
        <v/>
      </c>
      <c r="G19" s="50" t="n"/>
    </row>
    <row r="20" ht="15" customHeight="1" s="42">
      <c r="A20" s="50" t="inlineStr">
        <is>
          <t>Drywall</t>
        </is>
      </c>
      <c r="B20" s="50" t="inlineStr">
        <is>
          <t>Drywall screws 1-1/4" coarse (1 lb)</t>
        </is>
      </c>
      <c r="C20" s="62" t="n">
        <v>2</v>
      </c>
      <c r="D20" s="63" t="inlineStr">
        <is>
          <t>box</t>
        </is>
      </c>
      <c r="E20" s="64">
        <f>HYPERLINK("https://www.homedepot.com/p/Grip-Rite-6-x-1-1-4-in-Philips-Bugle-Head-Coarse-Thread-Sharp-Point-Drywall-Screws-1-lb-Pack-114CDWS1/100153837",6.97)</f>
        <v/>
      </c>
      <c r="F20" s="65">
        <f>C20*E20</f>
        <v/>
      </c>
      <c r="G20" s="50" t="n"/>
    </row>
    <row r="21" ht="15" customHeight="1" s="42">
      <c r="A21" s="50" t="inlineStr">
        <is>
          <t>Drywall</t>
        </is>
      </c>
      <c r="B21" s="50" t="inlineStr">
        <is>
          <t>Paper drywall tape (250 ft)</t>
        </is>
      </c>
      <c r="C21" s="62" t="n">
        <v>1</v>
      </c>
      <c r="D21" s="63" t="inlineStr">
        <is>
          <t>roll</t>
        </is>
      </c>
      <c r="E21" s="64">
        <f>HYPERLINK("https://www.homedepot.com/p/USG-Sheetrock-Brand-2-1-16-in-x-250-ft-Paper-Joint-Tape-382175/100321614",4.88)</f>
        <v/>
      </c>
      <c r="F21" s="65">
        <f>C21*E21</f>
        <v/>
      </c>
      <c r="G21" s="50" t="n"/>
    </row>
    <row r="22" ht="15" customHeight="1" s="42">
      <c r="A22" s="50" t="inlineStr">
        <is>
          <t>Drywall</t>
        </is>
      </c>
      <c r="B22" s="50" t="inlineStr">
        <is>
          <t>All-purpose joint compound (4.5 gal)</t>
        </is>
      </c>
      <c r="C22" s="62" t="n">
        <v>1</v>
      </c>
      <c r="D22" s="63" t="inlineStr">
        <is>
          <t>bucket</t>
        </is>
      </c>
      <c r="E22" s="64">
        <f>HYPERLINK("https://www.homedepot.com/p/USG-Sheetrock-Brand-4-5-Gal-All-Purpose-Pre-Mixed-Joint-Compound-380501/100321602",20.58)</f>
        <v/>
      </c>
      <c r="F22" s="65">
        <f>C22*E22</f>
        <v/>
      </c>
      <c r="G22" s="50" t="n"/>
    </row>
    <row r="23" ht="15" customHeight="1" s="42">
      <c r="A23" s="50" t="inlineStr">
        <is>
          <t>Drywall</t>
        </is>
      </c>
      <c r="B23" s="50" t="inlineStr">
        <is>
          <t>Lightweight finishing compound (4.5 gal)</t>
        </is>
      </c>
      <c r="C23" s="62" t="n">
        <v>1</v>
      </c>
      <c r="D23" s="63" t="inlineStr">
        <is>
          <t>bucket</t>
        </is>
      </c>
      <c r="E23" s="64">
        <f>HYPERLINK("https://www.homedepot.com/p/USG-Sheetrock-Brand-4-5-Gal-Plus-3-Lightweight-All-Purpose-Pre-Mixed-Joint-Compound-381466/100321604",23.68)</f>
        <v/>
      </c>
      <c r="F23" s="65">
        <f>C23*E23</f>
        <v/>
      </c>
      <c r="G23" s="50" t="n"/>
    </row>
    <row r="24" ht="15" customHeight="1" s="42">
      <c r="A24" s="50" t="inlineStr">
        <is>
          <t>Drywall</t>
        </is>
      </c>
      <c r="B24" s="50" t="inlineStr">
        <is>
          <t>Sanding sponge (med/fine)</t>
        </is>
      </c>
      <c r="C24" s="62" t="n">
        <v>3</v>
      </c>
      <c r="D24" s="63" t="inlineStr">
        <is>
          <t>ea</t>
        </is>
      </c>
      <c r="E24" s="64">
        <f>HYPERLINK("https://www.homedepot.com/p/3M-2-7-8-in-x-4-7-8-in-x-1-in-Fine-Medium-Drywall-Sanding-Sponge-9093DCNA/100353968",4.97)</f>
        <v/>
      </c>
      <c r="F24" s="65">
        <f>C24*E24</f>
        <v/>
      </c>
      <c r="G24" s="50" t="n"/>
    </row>
    <row r="25" ht="15" customHeight="1" s="42">
      <c r="A25" s="50" t="inlineStr">
        <is>
          <t>Walls</t>
        </is>
      </c>
      <c r="B25" s="50" t="inlineStr">
        <is>
          <t>Wall paneling - 4'x8' sheets (match existing)</t>
        </is>
      </c>
      <c r="C25" s="62" t="n">
        <v>4</v>
      </c>
      <c r="D25" s="63" t="inlineStr">
        <is>
          <t>sheet</t>
        </is>
      </c>
      <c r="E25" s="64">
        <f>HYPERLINK("https://www.homedepot.com/p/Unbranded-1-4-in-x-4-ft-x-8-ft-MDF-Wainscot-Panel-739558/202090200",34.98)</f>
        <v/>
      </c>
      <c r="F25" s="65">
        <f>C25*E25</f>
        <v/>
      </c>
      <c r="G25" s="50" t="n"/>
    </row>
    <row r="26" ht="15" customHeight="1" s="42">
      <c r="A26" s="50" t="inlineStr">
        <is>
          <t>Walls</t>
        </is>
      </c>
      <c r="B26" s="50" t="inlineStr">
        <is>
          <t>Panel adhesive (heavy duty)</t>
        </is>
      </c>
      <c r="C26" s="62" t="n">
        <v>3</v>
      </c>
      <c r="D26" s="63" t="inlineStr">
        <is>
          <t>tube</t>
        </is>
      </c>
      <c r="E26" s="64">
        <f>HYPERLINK("https://www.homedepot.com/p/Loctite-Power-Grab-Express-9-fl-oz-All-Purpose-Construction-Adhesive-2029846/206736498",7.98)</f>
        <v/>
      </c>
      <c r="F26" s="65">
        <f>C26*E26</f>
        <v/>
      </c>
      <c r="G26" s="50" t="inlineStr">
        <is>
          <t>AUDIT: Verify 9oz cartridge vs 6oz tube</t>
        </is>
      </c>
    </row>
    <row r="27" ht="15" customHeight="1" s="42">
      <c r="A27" s="50" t="inlineStr">
        <is>
          <t>Walls</t>
        </is>
      </c>
      <c r="B27" s="50" t="inlineStr">
        <is>
          <t>Paneling trim / seam molding (8ft)</t>
        </is>
      </c>
      <c r="C27" s="62" t="n">
        <v>4</v>
      </c>
      <c r="D27" s="63" t="inlineStr">
        <is>
          <t>piece</t>
        </is>
      </c>
      <c r="E27" s="64">
        <f>HYPERLINK("https://www.homedepot.com/p/Alexandria-Moulding-3-8-in-x-1-1-4-x-84-in-Primed-MDF-Header-Batten-Moulding-MW440-9G168/205576719",10.88)</f>
        <v/>
      </c>
      <c r="F27" s="65">
        <f>C27*E27</f>
        <v/>
      </c>
      <c r="G27" s="50" t="n"/>
    </row>
    <row r="28" ht="15" customHeight="1" s="42">
      <c r="A28" s="50" t="inlineStr">
        <is>
          <t>Walls</t>
        </is>
      </c>
      <c r="B28" s="50" t="inlineStr">
        <is>
          <t>Panel nails (color-matched)</t>
        </is>
      </c>
      <c r="C28" s="62" t="n">
        <v>1</v>
      </c>
      <c r="D28" s="63" t="inlineStr">
        <is>
          <t>box</t>
        </is>
      </c>
      <c r="E28" s="64">
        <f>HYPERLINK("https://www.homedepot.com/p/Grip-Rite-1-in-x-16-1-2-Gauge-White-Ring-Shank-Panel-Board-Nails-6-oz-Box-1PBWH/202308581",4.98)</f>
        <v/>
      </c>
      <c r="F28" s="65">
        <f>C28*E28</f>
        <v/>
      </c>
      <c r="G28" s="50" t="n"/>
    </row>
    <row r="29" ht="15" customHeight="1" s="42">
      <c r="A29" s="50" t="inlineStr">
        <is>
          <t>Trim</t>
        </is>
      </c>
      <c r="B29" s="50" t="inlineStr">
        <is>
          <t>Baseboard - 3-1/4" MDF primed (8ft)</t>
        </is>
      </c>
      <c r="C29" s="62" t="n">
        <v>6</v>
      </c>
      <c r="D29" s="63" t="inlineStr">
        <is>
          <t>piece</t>
        </is>
      </c>
      <c r="E29" s="64">
        <f>HYPERLINK("https://www.homedepot.com/p/Woodgrain-Millwork-623-1-2-in-x-3-1-4-in-x-96-in-Primed-MDF-Baseboard-Moulding-1-Piece-8-Total-Linear-Feet-10001007/203209370",6.51)</f>
        <v/>
      </c>
      <c r="F29" s="65">
        <f>C29*E29</f>
        <v/>
      </c>
      <c r="G29" s="50" t="inlineStr">
        <is>
          <t>~42 LF full perimeter</t>
        </is>
      </c>
    </row>
    <row r="30" ht="15" customHeight="1" s="42">
      <c r="A30" s="50" t="inlineStr">
        <is>
          <t>Trim</t>
        </is>
      </c>
      <c r="B30" s="50" t="inlineStr">
        <is>
          <t>Plinth blocks (MDF primed)</t>
        </is>
      </c>
      <c r="C30" s="62" t="n">
        <v>6</v>
      </c>
      <c r="D30" s="63" t="inlineStr">
        <is>
          <t>ea</t>
        </is>
      </c>
      <c r="E30" s="64">
        <f>HYPERLINK("https://www.homedepot.com/p/House-of-Fara-3-4-in-x-3-1-4-in-x-3-1-4-in-MDF-Primed-Plinth-Block-8621/205426918",3.98)</f>
        <v/>
      </c>
      <c r="F30" s="65">
        <f>C30*E30</f>
        <v/>
      </c>
      <c r="G30" s="50" t="n"/>
    </row>
    <row r="31" ht="15" customHeight="1" s="42">
      <c r="A31" s="50" t="inlineStr">
        <is>
          <t>Trim</t>
        </is>
      </c>
      <c r="B31" s="50" t="inlineStr">
        <is>
          <t>18ga 2" brad nails (1000ct)</t>
        </is>
      </c>
      <c r="C31" s="62" t="n">
        <v>1</v>
      </c>
      <c r="D31" s="63" t="inlineStr">
        <is>
          <t>box</t>
        </is>
      </c>
      <c r="E31" s="64">
        <f>HYPERLINK("https://www.homedepot.com/p/Grip-Rite-2-in-18-Gauge-Brad-Nails-1000-Pack-GRF18200/202308594",7.98)</f>
        <v/>
      </c>
      <c r="F31" s="65">
        <f>C31*E31</f>
        <v/>
      </c>
      <c r="G31" s="50" t="n"/>
    </row>
    <row r="32" ht="15" customHeight="1" s="42">
      <c r="A32" s="50" t="inlineStr">
        <is>
          <t>Trim</t>
        </is>
      </c>
      <c r="B32" s="50" t="inlineStr">
        <is>
          <t>Paintable latex caulk</t>
        </is>
      </c>
      <c r="C32" s="62" t="n">
        <v>2</v>
      </c>
      <c r="D32" s="63" t="inlineStr">
        <is>
          <t>tube</t>
        </is>
      </c>
      <c r="E32" s="64">
        <f>HYPERLINK("https://www.homedepot.com/p/DAP-Alex-Plus-10-1-oz-White-Acrylic-Latex-Caulk-Plus-Silicone-18103/100097524",3.98)</f>
        <v/>
      </c>
      <c r="F32" s="65">
        <f>C32*E32</f>
        <v/>
      </c>
      <c r="G32" s="50" t="n"/>
    </row>
    <row r="33" ht="15" customHeight="1" s="42">
      <c r="A33" s="50" t="inlineStr">
        <is>
          <t>Trim</t>
        </is>
      </c>
      <c r="B33" s="50" t="inlineStr">
        <is>
          <t>Wood filler / spackle</t>
        </is>
      </c>
      <c r="C33" s="62" t="n">
        <v>1</v>
      </c>
      <c r="D33" s="63" t="inlineStr">
        <is>
          <t>tube</t>
        </is>
      </c>
      <c r="E33" s="64">
        <f>HYPERLINK("https://www.homedepot.com/p/DAP-Plastic-Wood-X-with-DryDex-5-5-oz-All-Purpose-Wood-Filler-00540/206667344",7.98)</f>
        <v/>
      </c>
      <c r="F33" s="65">
        <f>C33*E33</f>
        <v/>
      </c>
      <c r="G33" s="50" t="n"/>
    </row>
    <row r="34" ht="15" customHeight="1" s="42">
      <c r="A34" s="50" t="inlineStr">
        <is>
          <t>Texture</t>
        </is>
      </c>
      <c r="B34" s="50" t="inlineStr">
        <is>
          <t>Spray texture - orange peel (20oz)</t>
        </is>
      </c>
      <c r="C34" s="62" t="n">
        <v>3</v>
      </c>
      <c r="D34" s="63" t="inlineStr">
        <is>
          <t>can</t>
        </is>
      </c>
      <c r="E34" s="64">
        <f>HYPERLINK("https://www.homedepot.com/p/Homax-20-oz-Wall-Orange-Peel-Low-Odor-Water-Based-Texture-Spray-Paint-4092-06/100154309",16.98)</f>
        <v/>
      </c>
      <c r="F34" s="65">
        <f>C34*E34</f>
        <v/>
      </c>
      <c r="G34" s="50" t="inlineStr">
        <is>
          <t>Match existing</t>
        </is>
      </c>
    </row>
    <row r="35" ht="15" customHeight="1" s="42">
      <c r="A35" s="50" t="inlineStr">
        <is>
          <t>Paint</t>
        </is>
      </c>
      <c r="B35" s="50" t="inlineStr">
        <is>
          <t>Zinsser Bulls Eye 1-2-3 Primer (1 gal)</t>
        </is>
      </c>
      <c r="C35" s="62" t="n">
        <v>1</v>
      </c>
      <c r="D35" s="63" t="inlineStr">
        <is>
          <t>gal</t>
        </is>
      </c>
      <c r="E35" s="64">
        <f>HYPERLINK("https://www.homedepot.com/p/Zinsser-Bulls-Eye-1-2-3-1-Gal-White-Water-Based-Interior-Exterior-Primer-and-Sealer-2001/100398391",28.98)</f>
        <v/>
      </c>
      <c r="F35" s="65">
        <f>C35*E35</f>
        <v/>
      </c>
      <c r="G35" s="50" t="n"/>
    </row>
    <row r="36" ht="15" customHeight="1" s="42">
      <c r="A36" s="50" t="inlineStr">
        <is>
          <t>Paint</t>
        </is>
      </c>
      <c r="B36" s="50" t="inlineStr">
        <is>
          <t>BEHR Marquee interior paint - eggshell (1 gal)</t>
        </is>
      </c>
      <c r="C36" s="62" t="n">
        <v>2</v>
      </c>
      <c r="D36" s="63" t="inlineStr">
        <is>
          <t>gal</t>
        </is>
      </c>
      <c r="E36" s="64">
        <f>HYPERLINK("https://www.homedepot.com/p/BEHR-MARQUEE-1-gal-Ultra-Pure-White-Eggshell-Enamel-Interior-Paint-Primer-245001/204747490",54.98)</f>
        <v/>
      </c>
      <c r="F36" s="65">
        <f>C36*E36</f>
        <v/>
      </c>
      <c r="G36" s="50" t="n"/>
    </row>
    <row r="37" ht="15" customHeight="1" s="42">
      <c r="A37" s="50" t="inlineStr">
        <is>
          <t>Paint</t>
        </is>
      </c>
      <c r="B37" s="50" t="inlineStr">
        <is>
          <t>BEHR Marquee semi-gloss trim paint (1 qt)</t>
        </is>
      </c>
      <c r="C37" s="62" t="n">
        <v>1</v>
      </c>
      <c r="D37" s="63" t="inlineStr">
        <is>
          <t>qt</t>
        </is>
      </c>
      <c r="E37" s="64">
        <f>HYPERLINK("https://www.homedepot.com/p/BEHR-MARQUEE-1-qt-Ultra-Pure-White-Semi-Gloss-Enamel-Interior-Paint-Primer-345004/204747525",23.98)</f>
        <v/>
      </c>
      <c r="F37" s="65">
        <f>C37*E37</f>
        <v/>
      </c>
      <c r="G37" s="50" t="n"/>
    </row>
    <row r="38" ht="15" customHeight="1" s="42">
      <c r="A38" s="50" t="inlineStr">
        <is>
          <t>Paint</t>
        </is>
      </c>
      <c r="B38" s="50" t="inlineStr">
        <is>
          <t>Paint supplies</t>
        </is>
      </c>
      <c r="C38" s="62" t="n">
        <v>1</v>
      </c>
      <c r="D38" s="63" t="inlineStr">
        <is>
          <t>kit</t>
        </is>
      </c>
      <c r="E38" s="64">
        <f>HYPERLINK("https://www.homedepot.com/p/Wooster-9-in-x-3-8-in-Pro-American-Contractor-High-Density-Knit-Roller-Cover-3-Pack-0-RC660-9/205625717",11.97)</f>
        <v/>
      </c>
      <c r="F38" s="65">
        <f>C38*E38</f>
        <v/>
      </c>
      <c r="G38" s="50" t="inlineStr">
        <is>
          <t>AUDIT: Roller covers SKU may be superseded</t>
        </is>
      </c>
    </row>
    <row r="39" ht="15" customHeight="1" s="42">
      <c r="A39" s="50" t="inlineStr">
        <is>
          <t>Supplies</t>
        </is>
      </c>
      <c r="B39" s="50" t="inlineStr">
        <is>
          <t>Plastic sheeting / drop cloths</t>
        </is>
      </c>
      <c r="C39" s="62" t="n">
        <v>1</v>
      </c>
      <c r="D39" s="63" t="inlineStr">
        <is>
          <t>pack</t>
        </is>
      </c>
      <c r="E39" s="64">
        <f>HYPERLINK("https://www.homedepot.com/p/HDX-9-ft-x-12-ft-0-7-mil-Drop-Cloth-2-Pack-DCHD-07-2/202528629",6.98)</f>
        <v/>
      </c>
      <c r="F39" s="65">
        <f>C39*E39</f>
        <v/>
      </c>
      <c r="G39" s="50" t="inlineStr">
        <is>
          <t>AUDIT: Drop cloth SKU not found in search</t>
        </is>
      </c>
    </row>
    <row r="40" ht="15" customHeight="1" s="42">
      <c r="A40" s="50" t="inlineStr">
        <is>
          <t>Supplies</t>
        </is>
      </c>
      <c r="B40" s="50" t="inlineStr">
        <is>
          <t>Disposal / debris hauling</t>
        </is>
      </c>
      <c r="C40" s="62" t="n">
        <v>1</v>
      </c>
      <c r="D40" s="63" t="inlineStr">
        <is>
          <t>flat</t>
        </is>
      </c>
      <c r="E40" s="65" t="n">
        <v>60</v>
      </c>
      <c r="F40" s="65">
        <f>C40*E40</f>
        <v/>
      </c>
      <c r="G40" s="50" t="inlineStr">
        <is>
          <t>Old materials removal</t>
        </is>
      </c>
    </row>
    <row r="41" ht="15" customHeight="1" s="42">
      <c r="A41" s="66" t="inlineStr">
        <is>
          <t>&gt;&gt;&gt; OWNER-PERFORMED LABOR (valued at contractor equivalent rates)</t>
        </is>
      </c>
      <c r="B41" s="67" t="n"/>
      <c r="C41" s="67" t="n"/>
      <c r="D41" s="67" t="n"/>
      <c r="E41" s="67" t="n"/>
      <c r="F41" s="67" t="n"/>
      <c r="G41" s="68" t="n"/>
    </row>
    <row r="42" ht="15" customHeight="1" s="42">
      <c r="A42" s="69" t="inlineStr">
        <is>
          <t>Owner Labor</t>
        </is>
      </c>
      <c r="B42" s="69" t="inlineStr">
        <is>
          <t>Carpet &amp; pad removal (old)</t>
        </is>
      </c>
      <c r="C42" s="70" t="n">
        <v>61</v>
      </c>
      <c r="D42" s="71" t="inlineStr">
        <is>
          <t>SF</t>
        </is>
      </c>
      <c r="E42" s="72" t="n">
        <v>0.85</v>
      </c>
      <c r="F42" s="72">
        <f>C42*E42</f>
        <v/>
      </c>
      <c r="G42" s="69" t="inlineStr">
        <is>
          <t>See Pricing Sources tab</t>
        </is>
      </c>
    </row>
    <row r="43" ht="15" customHeight="1" s="42">
      <c r="A43" s="69" t="inlineStr">
        <is>
          <t>Owner Labor</t>
        </is>
      </c>
      <c r="B43" s="69" t="inlineStr">
        <is>
          <t>Drywall - hang, tape, mud, sand</t>
        </is>
      </c>
      <c r="C43" s="70" t="n">
        <v>100</v>
      </c>
      <c r="D43" s="71" t="inlineStr">
        <is>
          <t>SF</t>
        </is>
      </c>
      <c r="E43" s="72" t="n">
        <v>2.75</v>
      </c>
      <c r="F43" s="72">
        <f>C43*E43</f>
        <v/>
      </c>
      <c r="G43" s="69" t="inlineStr">
        <is>
          <t>See Pricing Sources tab</t>
        </is>
      </c>
    </row>
    <row r="44" ht="15" customHeight="1" s="42">
      <c r="A44" s="69" t="inlineStr">
        <is>
          <t>Owner Labor</t>
        </is>
      </c>
      <c r="B44" s="69" t="inlineStr">
        <is>
          <t>Wall paneling installation</t>
        </is>
      </c>
      <c r="C44" s="70" t="n">
        <v>128</v>
      </c>
      <c r="D44" s="71" t="inlineStr">
        <is>
          <t>SF</t>
        </is>
      </c>
      <c r="E44" s="72" t="n">
        <v>2.25</v>
      </c>
      <c r="F44" s="72">
        <f>C44*E44</f>
        <v/>
      </c>
      <c r="G44" s="69" t="inlineStr">
        <is>
          <t>See Pricing Sources tab</t>
        </is>
      </c>
    </row>
    <row r="45" ht="15" customHeight="1" s="42">
      <c r="A45" s="69" t="inlineStr">
        <is>
          <t>Owner Labor</t>
        </is>
      </c>
      <c r="B45" s="69" t="inlineStr">
        <is>
          <t>Texture application</t>
        </is>
      </c>
      <c r="C45" s="70" t="n">
        <v>100</v>
      </c>
      <c r="D45" s="71" t="inlineStr">
        <is>
          <t>SF</t>
        </is>
      </c>
      <c r="E45" s="72" t="n">
        <v>1.5</v>
      </c>
      <c r="F45" s="72">
        <f>C45*E45</f>
        <v/>
      </c>
      <c r="G45" s="69" t="inlineStr">
        <is>
          <t>See Pricing Sources tab</t>
        </is>
      </c>
    </row>
    <row r="46" ht="15" customHeight="1" s="42">
      <c r="A46" s="69" t="inlineStr">
        <is>
          <t>Owner Labor</t>
        </is>
      </c>
      <c r="B46" s="69" t="inlineStr">
        <is>
          <t>Baseboard removal &amp; installation</t>
        </is>
      </c>
      <c r="C46" s="70" t="n">
        <v>42</v>
      </c>
      <c r="D46" s="71" t="inlineStr">
        <is>
          <t>LF</t>
        </is>
      </c>
      <c r="E46" s="72" t="n">
        <v>8.25</v>
      </c>
      <c r="F46" s="72">
        <f>C46*E46</f>
        <v/>
      </c>
      <c r="G46" s="69" t="inlineStr">
        <is>
          <t>See Pricing Sources tab</t>
        </is>
      </c>
    </row>
    <row r="47" ht="15" customHeight="1" s="42">
      <c r="A47" s="69" t="inlineStr">
        <is>
          <t>Owner Labor</t>
        </is>
      </c>
      <c r="B47" s="69" t="inlineStr">
        <is>
          <t>Paint - all walls + trim</t>
        </is>
      </c>
      <c r="C47" s="70" t="n">
        <v>280</v>
      </c>
      <c r="D47" s="71" t="inlineStr">
        <is>
          <t>SF</t>
        </is>
      </c>
      <c r="E47" s="72" t="n">
        <v>1.75</v>
      </c>
      <c r="F47" s="72">
        <f>C47*E47</f>
        <v/>
      </c>
      <c r="G47" s="69" t="inlineStr">
        <is>
          <t>See Pricing Sources tab</t>
        </is>
      </c>
    </row>
    <row r="48" ht="15" customHeight="1" s="42">
      <c r="A48" s="73" t="inlineStr">
        <is>
          <t>&gt;&gt;&gt; SUBCONTRACTOR LABOR</t>
        </is>
      </c>
      <c r="B48" s="67" t="n"/>
      <c r="C48" s="67" t="n"/>
      <c r="D48" s="67" t="n"/>
      <c r="E48" s="67" t="n"/>
      <c r="F48" s="67" t="n"/>
      <c r="G48" s="68" t="n"/>
    </row>
    <row r="49" ht="15" customHeight="1" s="42">
      <c r="A49" s="74" t="inlineStr">
        <is>
          <t>Sub Labor</t>
        </is>
      </c>
      <c r="B49" s="74" t="inlineStr">
        <is>
          <t>Carpet &amp; pad installation (professional)</t>
        </is>
      </c>
      <c r="C49" s="75" t="n">
        <v>61</v>
      </c>
      <c r="D49" s="76" t="inlineStr">
        <is>
          <t>SF</t>
        </is>
      </c>
      <c r="E49" s="77" t="n">
        <v>2</v>
      </c>
      <c r="F49" s="77">
        <f>C49*E49</f>
        <v/>
      </c>
      <c r="G49" s="74" t="inlineStr">
        <is>
          <t>See Pricing Sources tab</t>
        </is>
      </c>
    </row>
    <row r="50" ht="15" customHeight="1" s="42">
      <c r="A50" s="74" t="inlineStr">
        <is>
          <t>Sub Labor</t>
        </is>
      </c>
      <c r="B50" s="74" t="inlineStr">
        <is>
          <t>Concrete crack repair</t>
        </is>
      </c>
      <c r="C50" s="75" t="n">
        <v>15</v>
      </c>
      <c r="D50" s="76" t="inlineStr">
        <is>
          <t>LF</t>
        </is>
      </c>
      <c r="E50" s="77" t="n">
        <v>8</v>
      </c>
      <c r="F50" s="77">
        <f>C50*E50</f>
        <v/>
      </c>
      <c r="G50" s="74" t="inlineStr">
        <is>
          <t>Phase 1</t>
        </is>
      </c>
    </row>
    <row r="51" ht="15" customHeight="1" s="42">
      <c r="A51" s="74" t="inlineStr">
        <is>
          <t>Sub Labor</t>
        </is>
      </c>
      <c r="B51" s="74" t="inlineStr">
        <is>
          <t>Concrete self-leveling application</t>
        </is>
      </c>
      <c r="C51" s="75" t="n">
        <v>61</v>
      </c>
      <c r="D51" s="76" t="inlineStr">
        <is>
          <t>SF</t>
        </is>
      </c>
      <c r="E51" s="77" t="n">
        <v>3.5</v>
      </c>
      <c r="F51" s="77">
        <f>C51*E51</f>
        <v/>
      </c>
      <c r="G51" s="74" t="inlineStr">
        <is>
          <t>Phase 2 if needed</t>
        </is>
      </c>
    </row>
    <row r="52" ht="15" customHeight="1" s="42">
      <c r="A52" s="78" t="inlineStr">
        <is>
          <t>Room Subtotal</t>
        </is>
      </c>
      <c r="B52" s="54" t="n"/>
      <c r="C52" s="54" t="n"/>
      <c r="D52" s="54" t="n"/>
      <c r="E52" s="55" t="n"/>
      <c r="F52" s="79">
        <f>SUM(F9:F51)</f>
        <v/>
      </c>
      <c r="G52" s="80" t="n"/>
    </row>
  </sheetData>
  <mergeCells count="5">
    <mergeCell ref="A1:G1"/>
    <mergeCell ref="B5:G5"/>
    <mergeCell ref="A52:E52"/>
    <mergeCell ref="A48:G48"/>
    <mergeCell ref="A41:G41"/>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tabColor rgb="FF808080"/>
    <outlinePr summaryBelow="1" summaryRight="1"/>
    <pageSetUpPr fitToPage="0"/>
  </sheetPr>
  <dimension ref="A1:D24"/>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41" min="1" max="1"/>
    <col width="25" customWidth="1" style="41" min="2" max="2"/>
    <col width="60" customWidth="1" style="41" min="3" max="3"/>
    <col width="15" customWidth="1" style="41" min="4" max="4"/>
  </cols>
  <sheetData>
    <row r="1" ht="17.25" customHeight="1" s="42">
      <c r="A1" s="81" t="inlineStr">
        <is>
          <t>Pricing Sources &amp; Methodology</t>
        </is>
      </c>
    </row>
    <row r="3" ht="23.25" customHeight="1" s="42">
      <c r="A3" s="45" t="inlineStr">
        <is>
          <t>MATERIAL PRICING: All material unit costs link directly to the product or search results page at the retailer. Click the blue underlined unit cost in any room tab to view the source. Prices based on Home Depot and manufacturer websites as of April 2026.</t>
        </is>
      </c>
    </row>
    <row r="5" ht="15" customHeight="1" s="42">
      <c r="A5" s="82" t="inlineStr">
        <is>
          <t>Labor Category</t>
        </is>
      </c>
      <c r="B5" s="82" t="inlineStr">
        <is>
          <t>Rate</t>
        </is>
      </c>
      <c r="C5" s="82" t="inlineStr">
        <is>
          <t>Source</t>
        </is>
      </c>
      <c r="D5" s="82" t="inlineStr">
        <is>
          <t>Date Accessed</t>
        </is>
      </c>
    </row>
    <row r="6" ht="15" customHeight="1" s="42">
      <c r="A6" s="50" t="inlineStr">
        <is>
          <t>Carpet removal</t>
        </is>
      </c>
      <c r="B6" s="50" t="inlineStr">
        <is>
          <t>$0.85/SF</t>
        </is>
      </c>
      <c r="C6" s="83">
        <f>HYPERLINK("https://homeguide.com/costs/carpet-installation-cost","HomeGuide - Carpet Installation Cost Guide")</f>
        <v/>
      </c>
      <c r="D6" s="50" t="inlineStr">
        <is>
          <t>April 2026</t>
        </is>
      </c>
    </row>
    <row r="7" ht="15" customHeight="1" s="42">
      <c r="A7" s="50" t="inlineStr">
        <is>
          <t>Carpet installation (professional)</t>
        </is>
      </c>
      <c r="B7" s="50" t="inlineStr">
        <is>
          <t>$2.00/SF</t>
        </is>
      </c>
      <c r="C7" s="83">
        <f>HYPERLINK("https://homeguide.com/costs/carpet-installation-cost","HomeGuide - Carpet Installation Cost (2026)")</f>
        <v/>
      </c>
      <c r="D7" s="50" t="inlineStr">
        <is>
          <t>April 2026</t>
        </is>
      </c>
    </row>
    <row r="8" ht="15" customHeight="1" s="42">
      <c r="A8" s="50" t="inlineStr">
        <is>
          <t>Drywall hang, tape, mud, sand</t>
        </is>
      </c>
      <c r="B8" s="50" t="inlineStr">
        <is>
          <t>$2.75/SF</t>
        </is>
      </c>
      <c r="C8" s="83">
        <f>HYPERLINK("https://homeguide.com/costs/sheetrock-drywall-prices","HomeGuide - Drywall Prices Chart (2026)")</f>
        <v/>
      </c>
      <c r="D8" s="50" t="inlineStr">
        <is>
          <t>April 2026</t>
        </is>
      </c>
    </row>
    <row r="9" ht="15" customHeight="1" s="42">
      <c r="A9" s="50" t="inlineStr">
        <is>
          <t>Texture application</t>
        </is>
      </c>
      <c r="B9" s="50" t="inlineStr">
        <is>
          <t>$1.50/SF</t>
        </is>
      </c>
      <c r="C9" s="83">
        <f>HYPERLINK("https://homeguide.com/costs/sheetrock-drywall-prices","HomeGuide - Drywall Prices Chart (2026)")</f>
        <v/>
      </c>
      <c r="D9" s="50" t="inlineStr">
        <is>
          <t>April 2026</t>
        </is>
      </c>
    </row>
    <row r="10" ht="15" customHeight="1" s="42">
      <c r="A10" s="50" t="inlineStr">
        <is>
          <t>Baseboard removal</t>
        </is>
      </c>
      <c r="B10" s="50" t="inlineStr">
        <is>
          <t>$1.25/LF</t>
        </is>
      </c>
      <c r="C10" s="83">
        <f>HYPERLINK("https://www.angi.com/articles/how-much-does-it-cost-replace-baseboards.htm","Angi - Baseboard Installation Cost (2026)")</f>
        <v/>
      </c>
      <c r="D10" s="50" t="inlineStr">
        <is>
          <t>April 2026</t>
        </is>
      </c>
    </row>
    <row r="11" ht="15" customHeight="1" s="42">
      <c r="A11" s="50" t="inlineStr">
        <is>
          <t>Baseboard installation</t>
        </is>
      </c>
      <c r="B11" s="50" t="inlineStr">
        <is>
          <t>$7.00-8.25/LF</t>
        </is>
      </c>
      <c r="C11" s="83">
        <f>HYPERLINK("https://homeguide.com/costs/baseboard-installation-cost","HomeGuide - Baseboard Installation Cost (2026)")</f>
        <v/>
      </c>
      <c r="D11" s="50" t="inlineStr">
        <is>
          <t>April 2026</t>
        </is>
      </c>
    </row>
    <row r="12" ht="15" customHeight="1" s="42">
      <c r="A12" s="50" t="inlineStr">
        <is>
          <t>Painting walls (prime + 2 coats)</t>
        </is>
      </c>
      <c r="B12" s="50" t="inlineStr">
        <is>
          <t>$1.75-2.00/SF</t>
        </is>
      </c>
      <c r="C12" s="83">
        <f>HYPERLINK("https://homeguide.com/costs/interior-painting-cost","HomeGuide - Interior Painting Cost")</f>
        <v/>
      </c>
      <c r="D12" s="50" t="inlineStr">
        <is>
          <t>April 2026</t>
        </is>
      </c>
    </row>
    <row r="13" ht="15" customHeight="1" s="42">
      <c r="A13" s="50" t="inlineStr">
        <is>
          <t>LVP flooring installation</t>
        </is>
      </c>
      <c r="B13" s="50" t="inlineStr">
        <is>
          <t>$3.00/SF</t>
        </is>
      </c>
      <c r="C13" s="83">
        <f>HYPERLINK("https://homeguide.com/costs/vinyl-flooring-installation-cost","HomeGuide - Vinyl Flooring Installation Cost")</f>
        <v/>
      </c>
      <c r="D13" s="50" t="inlineStr">
        <is>
          <t>April 2026</t>
        </is>
      </c>
    </row>
    <row r="14" ht="15" customHeight="1" s="42">
      <c r="A14" s="50" t="inlineStr">
        <is>
          <t>Vinyl floor installation</t>
        </is>
      </c>
      <c r="B14" s="50" t="inlineStr">
        <is>
          <t>$3.50/SF</t>
        </is>
      </c>
      <c r="C14" s="83">
        <f>HYPERLINK("https://homeguide.com/costs/vinyl-flooring-installation-cost","HomeGuide - Vinyl Flooring Installation Cost")</f>
        <v/>
      </c>
      <c r="D14" s="50" t="inlineStr">
        <is>
          <t>April 2026</t>
        </is>
      </c>
    </row>
    <row r="15" ht="15" customHeight="1" s="42">
      <c r="A15" s="50" t="inlineStr">
        <is>
          <t>Door &amp; trim installation</t>
        </is>
      </c>
      <c r="B15" s="50" t="inlineStr">
        <is>
          <t>$325/ea</t>
        </is>
      </c>
      <c r="C15" s="83">
        <f>HYPERLINK("https://www.angi.com/articles/how-much-does-installing-trim-cost.htm","Angi - Trim Installation Cost (2026)")</f>
        <v/>
      </c>
      <c r="D15" s="50" t="inlineStr">
        <is>
          <t>April 2026</t>
        </is>
      </c>
    </row>
    <row r="16" ht="15" customHeight="1" s="42">
      <c r="A16" s="50" t="inlineStr">
        <is>
          <t>Tile surround installation</t>
        </is>
      </c>
      <c r="B16" s="50" t="inlineStr">
        <is>
          <t>$10.00/SF</t>
        </is>
      </c>
      <c r="C16" s="83">
        <f>HYPERLINK("https://homeguide.com/costs/tile-installation-cost","HomeGuide - Tile Installation Cost (2026)")</f>
        <v/>
      </c>
      <c r="D16" s="50" t="inlineStr">
        <is>
          <t>April 2026</t>
        </is>
      </c>
    </row>
    <row r="17" ht="15" customHeight="1" s="42">
      <c r="A17" s="50" t="inlineStr">
        <is>
          <t>Vanity set &amp; plumbing hookup</t>
        </is>
      </c>
      <c r="B17" s="50" t="inlineStr">
        <is>
          <t>$250/ea</t>
        </is>
      </c>
      <c r="C17" s="83">
        <f>HYPERLINK("https://www.angi.com/articles/how-much-does-vanity-installation-cost.htm","Angi - Vanity Installation Cost")</f>
        <v/>
      </c>
      <c r="D17" s="50" t="inlineStr">
        <is>
          <t>April 2026</t>
        </is>
      </c>
    </row>
    <row r="18" ht="15" customHeight="1" s="42">
      <c r="A18" s="50" t="inlineStr">
        <is>
          <t>Drywall skim coat</t>
        </is>
      </c>
      <c r="B18" s="50" t="inlineStr">
        <is>
          <t>$1.75/SF</t>
        </is>
      </c>
      <c r="C18" s="83">
        <f>HYPERLINK("https://homeguide.com/costs/sheetrock-drywall-prices","HomeGuide - Drywall Prices Chart")</f>
        <v/>
      </c>
      <c r="D18" s="50" t="inlineStr">
        <is>
          <t>April 2026</t>
        </is>
      </c>
    </row>
    <row r="19" ht="15" customHeight="1" s="42">
      <c r="A19" s="50" t="inlineStr">
        <is>
          <t>Wall paneling installation</t>
        </is>
      </c>
      <c r="B19" s="50" t="inlineStr">
        <is>
          <t>$2.25/SF</t>
        </is>
      </c>
      <c r="C19" s="83">
        <f>HYPERLINK("https://homeguide.com/costs/paneling-installation-cost","HomeGuide - Paneling Installation Cost")</f>
        <v/>
      </c>
      <c r="D19" s="50" t="inlineStr">
        <is>
          <t>April 2026</t>
        </is>
      </c>
    </row>
    <row r="20" ht="15" customHeight="1" s="42">
      <c r="A20" s="50" t="inlineStr">
        <is>
          <t>Concrete crack repair</t>
        </is>
      </c>
      <c r="B20" s="50" t="inlineStr">
        <is>
          <t>$8.00/LF</t>
        </is>
      </c>
      <c r="C20" s="83">
        <f>HYPERLINK("https://www.homewyse.com/maintenance_costs/cost_to_repair_cracked_concrete.html","Homewyse - Concrete Crack Repair (2026)")</f>
        <v/>
      </c>
      <c r="D20" s="50" t="inlineStr">
        <is>
          <t>April 2026</t>
        </is>
      </c>
    </row>
    <row r="21" ht="15" customHeight="1" s="42">
      <c r="A21" s="50" t="inlineStr">
        <is>
          <t>Concrete self-leveling</t>
        </is>
      </c>
      <c r="B21" s="50" t="inlineStr">
        <is>
          <t>$3.50/SF</t>
        </is>
      </c>
      <c r="C21" s="83">
        <f>HYPERLINK("https://homeguide.com/costs/concrete-leveling-cost","HomeGuide - Concrete Leveling Cost (2026)")</f>
        <v/>
      </c>
      <c r="D21" s="50" t="inlineStr">
        <is>
          <t>April 2026</t>
        </is>
      </c>
    </row>
    <row r="22" ht="15" customHeight="1" s="42">
      <c r="A22" s="50" t="inlineStr">
        <is>
          <t>DreamStone shower system installation</t>
        </is>
      </c>
      <c r="B22" s="50" t="inlineStr">
        <is>
          <t>$800/ea</t>
        </is>
      </c>
      <c r="C22" s="83">
        <f>HYPERLINK("https://dreamline.com/shower-kits/dreamstone","DreamLine DreamStone - manufacturer site")</f>
        <v/>
      </c>
      <c r="D22" s="50" t="inlineStr">
        <is>
          <t>April 2026</t>
        </is>
      </c>
    </row>
    <row r="24" ht="45" customHeight="1" s="42">
      <c r="A24" s="84" t="inlineStr">
        <is>
          <t>Note: Owner-performed labor is valued at the same rates a licensed contractor would charge. This reflects the fair market value of the work regardless of who performs it. Rates are based on 2025-2026 national averages from the sources listed above. Roanoke, VA market rates may vary slightly.</t>
        </is>
      </c>
    </row>
  </sheetData>
  <mergeCells count="3">
    <mergeCell ref="A1:D1"/>
    <mergeCell ref="A3:D3"/>
    <mergeCell ref="A24:D24"/>
  </mergeCell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2026-04-08T17:02:46Z</dcterms:created>
  <dcterms:modified xsi:type="dcterms:W3CDTF">2026-04-08T20:12:31Z</dcterms:modified>
  <cp:revision>0</cp:revision>
</cp:coreProperties>
</file>